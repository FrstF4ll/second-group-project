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working\waccache\MI2PEPF0000023E\EXCELCNV\b7062451-6e45-4ac2-8f7d-930217cdcf79\"/>
    </mc:Choice>
  </mc:AlternateContent>
  <xr:revisionPtr revIDLastSave="0" documentId="8_{E19F6D9B-1FC6-44D4-9F51-35D8C010F5BC}" xr6:coauthVersionLast="47" xr6:coauthVersionMax="47" xr10:uidLastSave="{00000000-0000-0000-0000-000000000000}"/>
  <bookViews>
    <workbookView xWindow="-60" yWindow="-60" windowWidth="15480" windowHeight="11640" tabRatio="500" firstSheet="4" xr2:uid="{00000000-000D-0000-FFFF-FFFF00000000}"/>
  </bookViews>
  <sheets>
    <sheet name="Totaux" sheetId="1" r:id="rId1"/>
    <sheet name="Modules informatiques" sheetId="2" r:id="rId2"/>
    <sheet name="Sheet2" sheetId="3" state="hidden" r:id="rId3"/>
    <sheet name="Projets entreprise" sheetId="4" r:id="rId4"/>
    <sheet name="Compétences opérationelle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1" i="5" l="1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V51" i="5"/>
  <c r="V49" i="5"/>
  <c r="V47" i="5"/>
  <c r="V45" i="5"/>
  <c r="V43" i="5"/>
  <c r="V41" i="5"/>
  <c r="V39" i="5"/>
  <c r="V37" i="5"/>
  <c r="V35" i="5"/>
  <c r="V33" i="5"/>
  <c r="V31" i="5"/>
  <c r="V29" i="5"/>
  <c r="V27" i="5"/>
  <c r="V25" i="5"/>
  <c r="V23" i="5"/>
  <c r="V21" i="5"/>
  <c r="V19" i="5"/>
  <c r="V17" i="5"/>
  <c r="V15" i="5"/>
  <c r="V13" i="5"/>
  <c r="V11" i="5"/>
  <c r="V9" i="5"/>
  <c r="V7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V5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V3" i="5"/>
  <c r="U19" i="5"/>
  <c r="AS51" i="5"/>
  <c r="AS49" i="5"/>
  <c r="AS47" i="5"/>
  <c r="AS45" i="5"/>
  <c r="AS43" i="5"/>
  <c r="AS41" i="5"/>
  <c r="AS39" i="5"/>
  <c r="AS37" i="5"/>
  <c r="AS35" i="5"/>
  <c r="AS33" i="5"/>
  <c r="AS31" i="5"/>
  <c r="AS29" i="5"/>
  <c r="AS27" i="5"/>
  <c r="AS25" i="5"/>
  <c r="AS23" i="5"/>
  <c r="AS21" i="5"/>
  <c r="AS19" i="5"/>
  <c r="AS17" i="5"/>
  <c r="AS15" i="5"/>
  <c r="AS13" i="5"/>
  <c r="AS11" i="5"/>
  <c r="AS9" i="5"/>
  <c r="AS7" i="5"/>
  <c r="AS5" i="5"/>
  <c r="AS3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1" i="5" s="1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9" i="5" s="1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7" i="5" s="1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5" i="5" s="1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U43" i="5" s="1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U41" i="5" s="1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9" i="5" s="1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7" i="5" s="1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5" i="5" s="1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3" i="5" s="1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1" i="5" s="1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9" i="5" s="1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7" i="5" s="1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5" i="5" s="1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3" i="5" s="1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1" i="5" s="1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7" i="5" s="1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U15" i="5" s="1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U13" i="5" s="1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U11" i="5" s="1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9" i="5" s="1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7" i="5" s="1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5" i="5" s="1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3" i="5" s="1"/>
  <c r="AD34" i="1"/>
  <c r="AD28" i="1"/>
  <c r="P28" i="1"/>
  <c r="AD25" i="1"/>
  <c r="P25" i="1"/>
  <c r="AD22" i="1"/>
  <c r="P22" i="1"/>
  <c r="AD19" i="1"/>
  <c r="P19" i="1"/>
  <c r="B18" i="1"/>
  <c r="B17" i="1"/>
  <c r="AD16" i="1"/>
  <c r="P16" i="1"/>
  <c r="AD13" i="1"/>
  <c r="P13" i="1"/>
  <c r="B11" i="1" a="1"/>
  <c r="B11" i="1"/>
  <c r="AD10" i="1"/>
  <c r="P10" i="1"/>
  <c r="AD7" i="1"/>
  <c r="AD33" i="1" s="1"/>
  <c r="P7" i="1"/>
  <c r="P30" i="1" s="1"/>
  <c r="B10" i="1" s="1"/>
  <c r="AD36" i="1" a="1"/>
  <c r="AD36" i="1"/>
  <c r="B12" i="1"/>
  <c r="B6" i="1" a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Bastien Nicoud</author>
  </authors>
  <commentList>
    <comment ref="A1" authorId="0" shapeId="0" xr:uid="{207A0136-7526-4D45-B135-702A657C00D4}">
      <text>
        <r>
          <rPr>
            <sz val="12"/>
            <color theme="1"/>
            <rFont val="Calibri"/>
            <family val="2"/>
            <charset val="1"/>
          </rPr>
          <t>Bastien Nicoud:
Noter quand vous commencez ou terminez un exercice.
ctrl+shift+, pour ajouter la date du jour.</t>
        </r>
      </text>
    </comment>
    <comment ref="C1" authorId="0" shapeId="0" xr:uid="{DF4F5599-1D36-4816-A834-45EB151AB742}">
      <text>
        <r>
          <rPr>
            <sz val="12"/>
            <color theme="1"/>
            <rFont val="Calibri"/>
            <family val="2"/>
            <charset val="1"/>
          </rPr>
          <t>Bastien Nicoud:
Noter ici la dernière lettre + numéro des brief projets du centre de formation.
En entreprise, utiliser un code unique.</t>
        </r>
      </text>
    </comment>
  </commentList>
</comments>
</file>

<file path=xl/sharedStrings.xml><?xml version="1.0" encoding="utf-8"?>
<sst xmlns="http://schemas.openxmlformats.org/spreadsheetml/2006/main" count="299" uniqueCount="175">
  <si>
    <t>JT_CF_E10_1.6</t>
  </si>
  <si>
    <t>Calcul notes CFC informatique</t>
  </si>
  <si>
    <t>Seul les cases en bleu clair doivent être éditées</t>
  </si>
  <si>
    <t>Prénom Nom</t>
  </si>
  <si>
    <t>Moyennes globales</t>
  </si>
  <si>
    <t>Compétences de base élargies</t>
  </si>
  <si>
    <t>Culture générale</t>
  </si>
  <si>
    <t>Moyennes</t>
  </si>
  <si>
    <t>Pondérations</t>
  </si>
  <si>
    <t>Note finale CFC</t>
  </si>
  <si>
    <t>Math 1</t>
  </si>
  <si>
    <t>Semestre 1</t>
  </si>
  <si>
    <t>Langues+Société</t>
  </si>
  <si>
    <t>Domaines finaux</t>
  </si>
  <si>
    <t>TPI</t>
  </si>
  <si>
    <t>Math 2</t>
  </si>
  <si>
    <t>Semestre 2</t>
  </si>
  <si>
    <t>Société</t>
  </si>
  <si>
    <t>Compétences en informatique</t>
  </si>
  <si>
    <t>Math 3</t>
  </si>
  <si>
    <t>Semestre 3</t>
  </si>
  <si>
    <t>Anglais 1</t>
  </si>
  <si>
    <t>Semestre 4</t>
  </si>
  <si>
    <t>Modules ecole pro à 0.5</t>
  </si>
  <si>
    <t>Modules CIE à 0.5</t>
  </si>
  <si>
    <t>Anglais 2</t>
  </si>
  <si>
    <t>Semestre 5</t>
  </si>
  <si>
    <t>Anglais 3</t>
  </si>
  <si>
    <t>Semestre 6</t>
  </si>
  <si>
    <t>Anglais 4</t>
  </si>
  <si>
    <t>Semestre 7</t>
  </si>
  <si>
    <t>Anglais 5</t>
  </si>
  <si>
    <t>Semestre 8</t>
  </si>
  <si>
    <t>Moyenne 8 semestres de 40 périodes</t>
  </si>
  <si>
    <t>TPA</t>
  </si>
  <si>
    <t>Moyenne ECG</t>
  </si>
  <si>
    <t>Moyenne culture générale</t>
  </si>
  <si>
    <t>No module</t>
  </si>
  <si>
    <t>Module</t>
  </si>
  <si>
    <t>Nom</t>
  </si>
  <si>
    <t>Note</t>
  </si>
  <si>
    <t>CIE</t>
  </si>
  <si>
    <t>Interroger, traiter et assurer la maintenance des bases de données</t>
  </si>
  <si>
    <t>Mettre en oeuvre des solutions ICT avec la technologie block-chain</t>
  </si>
  <si>
    <t>Exploiter et surveiller des services dans le cloud public</t>
  </si>
  <si>
    <t>Analyser et repré-senter des données avec des outils</t>
  </si>
  <si>
    <t>Analyser et implé-menter des mesures visant à assurer la sécurité informa-tique des PME</t>
  </si>
  <si>
    <t>Mettre en service un Poste de tra-vail ICTavec le système d’exploitation</t>
  </si>
  <si>
    <t>Mettre en place et exploiter une plate-forme de virtualisa-tion</t>
  </si>
  <si>
    <t>Utiliser un cloud public pour des appli-cations</t>
  </si>
  <si>
    <t>Intégrer les ter-minaux IoE dans une plateforme existante</t>
  </si>
  <si>
    <t>Concevoir, planifier et mettre en place un service pour l’IoE</t>
  </si>
  <si>
    <t>Réaliser des applica-tions multi-utilisateurs orien-tées objets</t>
  </si>
  <si>
    <t>Réaliser des solutions ICT avec des techno-logies actuelles</t>
  </si>
  <si>
    <t>Développer des solu-tions ICT avec le Ma-chine Learning</t>
  </si>
  <si>
    <t>Réaliser le front-end d’une application Web interactive</t>
  </si>
  <si>
    <t>Réaliser le back-end pour des applications</t>
  </si>
  <si>
    <t>Réaliser une appli-cation pour mobile</t>
  </si>
  <si>
    <t>EPSIC</t>
  </si>
  <si>
    <t>Mettre en oeuvre des systèmes de codification, de compression et d’encryptage</t>
  </si>
  <si>
    <t>Mettre en place l’infrastructure informatique et réseau d’une petite entreprise</t>
  </si>
  <si>
    <t>Automatiser des procédures à l’aide de scripts</t>
  </si>
  <si>
    <t>Analyser et modé-liser des données</t>
  </si>
  <si>
    <t>Créer des bases de données et y insé-rer des données</t>
  </si>
  <si>
    <t>Utiliser des bases de données NoSQL</t>
  </si>
  <si>
    <t>Implémenter la sécurité d’une application</t>
  </si>
  <si>
    <t>Appliquer la pro-tection et la sécuri-té des données</t>
  </si>
  <si>
    <t>Initialiser des solutions ICT innovantes</t>
  </si>
  <si>
    <t>Mettre en oeuvre des solutions ICT innovantes</t>
  </si>
  <si>
    <t>Décrire des proces-sus métier dans son propre environne-ment professionnel</t>
  </si>
  <si>
    <t>Créer et publier un site Web</t>
  </si>
  <si>
    <t>Réaliser de petits projets dans son propre environne-ment professionnel</t>
  </si>
  <si>
    <t>Concevoir et implémenter des applications</t>
  </si>
  <si>
    <t>Programmer orienté objet</t>
  </si>
  <si>
    <t>Programmer des sys-tèmes distribués</t>
  </si>
  <si>
    <t>Concevoir et im-plémenter des interfaces utilisa-teur</t>
  </si>
  <si>
    <t>Programmer de manière fonction-nelle</t>
  </si>
  <si>
    <t>Prendre en charge des processus DevOps avec des outils logiciels</t>
  </si>
  <si>
    <t>Concevoir et implémenter des interfaces utilisateurs</t>
  </si>
  <si>
    <t>Concevoir et réali-ser des solutions cloud</t>
  </si>
  <si>
    <t>Utiliser un service avec des conteneurs</t>
  </si>
  <si>
    <t>Développer un logiciel avec des méthodes agiles</t>
  </si>
  <si>
    <t>Exécuter des mandats de manière autonome dans un environnement professionnel</t>
  </si>
  <si>
    <t>Tester des applications</t>
  </si>
  <si>
    <t>Copetence pro</t>
  </si>
  <si>
    <t>Début</t>
  </si>
  <si>
    <t>Fin</t>
  </si>
  <si>
    <t>Identifiant</t>
  </si>
  <si>
    <t>Titre du projet</t>
  </si>
  <si>
    <t>Note obtenue</t>
  </si>
  <si>
    <t>E100</t>
  </si>
  <si>
    <t>Evaluation, Linux et lignes de commandes</t>
  </si>
  <si>
    <t>B20</t>
  </si>
  <si>
    <t>Static site</t>
  </si>
  <si>
    <t>B41</t>
  </si>
  <si>
    <t>Web todo list with TypeScript</t>
  </si>
  <si>
    <t>B42</t>
  </si>
  <si>
    <t>React todo list</t>
  </si>
  <si>
    <t>B44</t>
  </si>
  <si>
    <t>API in TypeScript with Bun &amp; SQLite</t>
  </si>
  <si>
    <t>B48</t>
  </si>
  <si>
    <t>Présentation d'un langage de programmation</t>
  </si>
  <si>
    <t>E103</t>
  </si>
  <si>
    <t>Évaluation, Programmation en JavaScript</t>
  </si>
  <si>
    <t>B51</t>
  </si>
  <si>
    <t>PHP blog</t>
  </si>
  <si>
    <t>B46</t>
  </si>
  <si>
    <t>Full-Stack TypeScript App</t>
  </si>
  <si>
    <t>E104</t>
  </si>
  <si>
    <t>Évaluation, Programmation en TypeScript</t>
  </si>
  <si>
    <t>B52</t>
  </si>
  <si>
    <t>PHP framework App</t>
  </si>
  <si>
    <t>B60</t>
  </si>
  <si>
    <t>Working in a team - Agile and scrum</t>
  </si>
  <si>
    <t>B70</t>
  </si>
  <si>
    <t>Python TCP Chat</t>
  </si>
  <si>
    <t>E108</t>
  </si>
  <si>
    <t>Evaluation, JS, TS et front-end</t>
  </si>
  <si>
    <t>B49</t>
  </si>
  <si>
    <t>Présentation d'un sujet technique en groupe</t>
  </si>
  <si>
    <t>Numéro</t>
  </si>
  <si>
    <t>Modules EPSIC</t>
  </si>
  <si>
    <t>Modules CIE</t>
  </si>
  <si>
    <t>Moyenne</t>
  </si>
  <si>
    <t>Centre de formation et entreprise</t>
  </si>
  <si>
    <t>a1</t>
  </si>
  <si>
    <t>Clarifier et documenter les besoins des parties prenantes dans le cadre d’un projet ICT</t>
  </si>
  <si>
    <t>a2</t>
  </si>
  <si>
    <t>Définir un modèle de procédure pour un projet ICT</t>
  </si>
  <si>
    <t>a3</t>
  </si>
  <si>
    <t>Rechercher des informations sur des solutions ICT et sur les innovations</t>
  </si>
  <si>
    <t>a4</t>
  </si>
  <si>
    <t>Planifier les projets ICT et les tâches selon un modèle de procédure</t>
  </si>
  <si>
    <t>a5</t>
  </si>
  <si>
    <t>Visualiser et présenter les variantes de solutions ICT</t>
  </si>
  <si>
    <t>a6</t>
  </si>
  <si>
    <t>Vérifier l’avancement des projets ICT et des tâches et en faire état selon le modèle de procédure</t>
  </si>
  <si>
    <t>a7</t>
  </si>
  <si>
    <t>Remettre la solution ICT au client et clôturer le projet</t>
  </si>
  <si>
    <t>b1</t>
  </si>
  <si>
    <t>Installer un PC monoposte</t>
  </si>
  <si>
    <t>b2</t>
  </si>
  <si>
    <t>Réceptionner et traiter des demandes d’assistance informatique complexes</t>
  </si>
  <si>
    <t>b3</t>
  </si>
  <si>
    <t>Conseiller les clients en matière de protection et de sécurité des données</t>
  </si>
  <si>
    <t>b4</t>
  </si>
  <si>
    <t>Analyser, visualiser et documenter les processus métier des clients</t>
  </si>
  <si>
    <t>c1</t>
  </si>
  <si>
    <t>Identifier et analyser les données et développer des modèles de données</t>
  </si>
  <si>
    <t>c2</t>
  </si>
  <si>
    <t>Mettre en œuvre des modèles de données dans un dispositif de stockage de données numériques</t>
  </si>
  <si>
    <t>c3</t>
  </si>
  <si>
    <t>Planifier, implémenter et documenter la sécurité et la protection des données pour des solutions ICT</t>
  </si>
  <si>
    <t>c4</t>
  </si>
  <si>
    <t>Traiter des données à partir de dispositifs de stockage de données numériques</t>
  </si>
  <si>
    <t>g1</t>
  </si>
  <si>
    <t>Analyser et documenter les besoins en matière d’applications et d’interfaces</t>
  </si>
  <si>
    <t>g2</t>
  </si>
  <si>
    <t>Vérifier la faisabilité technique des prototypes d’interfaces utilisateur et les développer</t>
  </si>
  <si>
    <t>g3</t>
  </si>
  <si>
    <t>Evaluer et documenter la sécurité des applications et des interfaces</t>
  </si>
  <si>
    <t>g4</t>
  </si>
  <si>
    <t>Elaborer des variantes de mise en œuvre d’une application et développer la solution sur le plan conceptuel</t>
  </si>
  <si>
    <t>g5</t>
  </si>
  <si>
    <t>Implémenter les applications et les interfaces selon le concept en respectant les exigences de sécurité</t>
  </si>
  <si>
    <t>g6</t>
  </si>
  <si>
    <t>Vérifier la qualité et la sécurité des applications et des interfaces</t>
  </si>
  <si>
    <t>h1</t>
  </si>
  <si>
    <t>Définir la plateforme appropriée pour la livraison des applications</t>
  </si>
  <si>
    <t>h2</t>
  </si>
  <si>
    <t>Définir le processus de livraison des applications</t>
  </si>
  <si>
    <t>h3</t>
  </si>
  <si>
    <t>Implémenter le processus de livraison des applications</t>
  </si>
  <si>
    <t>h4</t>
  </si>
  <si>
    <t>Surveiller les applications et les interfaces et résoudre les problèmes en cours de fonctionnement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</si>
</sst>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"/>
    </font>
    <font>
      <sz val="12"/>
      <color theme="1"/>
      <name val="Aptos Narrow"/>
      <charset val="1"/>
    </font>
    <font>
      <b/>
      <i/>
      <sz val="12"/>
      <color theme="1"/>
      <name val="Aptos Narrow"/>
      <charset val="1"/>
    </font>
    <font>
      <sz val="14"/>
      <color theme="1"/>
      <name val="Aptos Narrow"/>
      <charset val="1"/>
    </font>
    <font>
      <b/>
      <sz val="14"/>
      <color theme="1"/>
      <name val="Aptos Narrow"/>
      <charset val="1"/>
    </font>
    <font>
      <b/>
      <sz val="12"/>
      <color theme="1"/>
      <name val="Aptos Narrow"/>
      <charset val="1"/>
    </font>
    <font>
      <b/>
      <sz val="12"/>
      <color rgb="FFFF0000"/>
      <name val="Aptos Narrow"/>
      <charset val="1"/>
    </font>
    <font>
      <sz val="12"/>
      <color rgb="FF000000"/>
      <name val="Aptos Narrow"/>
      <charset val="1"/>
    </font>
    <font>
      <strike/>
      <sz val="12"/>
      <color theme="1"/>
      <name val="Aptos Narrow"/>
      <charset val="1"/>
    </font>
    <font>
      <sz val="12"/>
      <color theme="1"/>
      <name val="Aptos Narrow"/>
    </font>
    <font>
      <sz val="10"/>
      <color theme="1"/>
      <name val="Aptos Narrow"/>
    </font>
    <font>
      <b/>
      <sz val="12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7" tint="0.39988402966399123"/>
        <bgColor rgb="FFF4B183"/>
      </patternFill>
    </fill>
    <fill>
      <patternFill patternType="solid">
        <fgColor theme="9" tint="0.39988402966399123"/>
        <bgColor rgb="FF9DC3E6"/>
      </patternFill>
    </fill>
    <fill>
      <patternFill patternType="solid">
        <fgColor theme="8" tint="0.79989013336588644"/>
        <bgColor rgb="FFDEE6EF"/>
      </patternFill>
    </fill>
    <fill>
      <patternFill patternType="solid">
        <fgColor theme="5" tint="0.39988402966399123"/>
        <bgColor rgb="FFFFC7CE"/>
      </patternFill>
    </fill>
    <fill>
      <patternFill patternType="solid">
        <fgColor theme="9" tint="0.79989013336588644"/>
        <bgColor rgb="FFDDE8CB"/>
      </patternFill>
    </fill>
    <fill>
      <patternFill patternType="solid">
        <fgColor theme="8" tint="0.39988402966399123"/>
        <bgColor rgb="FFA9D18E"/>
      </patternFill>
    </fill>
    <fill>
      <patternFill patternType="solid">
        <fgColor rgb="FFDDE8CB"/>
        <bgColor rgb="FFE2F0D9"/>
      </patternFill>
    </fill>
    <fill>
      <patternFill patternType="solid">
        <fgColor rgb="FFDEE6EF"/>
        <bgColor rgb="FFDE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5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5" fillId="3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6" fillId="0" borderId="0" xfId="0" applyFont="1" applyAlignment="1">
      <alignment horizontal="right"/>
    </xf>
    <xf numFmtId="0" fontId="5" fillId="0" borderId="6" xfId="0" applyFont="1" applyBorder="1"/>
    <xf numFmtId="0" fontId="7" fillId="4" borderId="7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5" fillId="0" borderId="10" xfId="0" applyFont="1" applyBorder="1"/>
    <xf numFmtId="0" fontId="1" fillId="0" borderId="4" xfId="0" applyFont="1" applyBorder="1" applyAlignment="1">
      <alignment horizontal="right"/>
    </xf>
    <xf numFmtId="0" fontId="1" fillId="4" borderId="8" xfId="0" applyFont="1" applyFill="1" applyBorder="1"/>
    <xf numFmtId="0" fontId="1" fillId="4" borderId="9" xfId="0" applyFont="1" applyFill="1" applyBorder="1"/>
    <xf numFmtId="0" fontId="5" fillId="0" borderId="11" xfId="0" applyFont="1" applyBorder="1"/>
    <xf numFmtId="0" fontId="5" fillId="0" borderId="5" xfId="0" applyFont="1" applyBorder="1"/>
    <xf numFmtId="0" fontId="1" fillId="5" borderId="0" xfId="0" applyFont="1" applyFill="1" applyAlignment="1">
      <alignment horizontal="right"/>
    </xf>
    <xf numFmtId="0" fontId="5" fillId="4" borderId="12" xfId="0" applyFont="1" applyFill="1" applyBorder="1"/>
    <xf numFmtId="9" fontId="1" fillId="6" borderId="0" xfId="0" applyNumberFormat="1" applyFont="1" applyFill="1"/>
    <xf numFmtId="0" fontId="5" fillId="0" borderId="0" xfId="0" applyFont="1"/>
    <xf numFmtId="0" fontId="1" fillId="2" borderId="0" xfId="0" applyFont="1" applyFill="1" applyAlignment="1">
      <alignment horizontal="right"/>
    </xf>
    <xf numFmtId="0" fontId="5" fillId="0" borderId="13" xfId="0" applyFont="1" applyBorder="1"/>
    <xf numFmtId="0" fontId="1" fillId="4" borderId="7" xfId="0" applyFont="1" applyFill="1" applyBorder="1"/>
    <xf numFmtId="0" fontId="1" fillId="7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5" fillId="0" borderId="14" xfId="0" applyFont="1" applyBorder="1"/>
    <xf numFmtId="0" fontId="5" fillId="0" borderId="12" xfId="0" applyFont="1" applyBorder="1"/>
    <xf numFmtId="0" fontId="8" fillId="0" borderId="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right"/>
    </xf>
    <xf numFmtId="0" fontId="5" fillId="0" borderId="17" xfId="0" applyFont="1" applyBorder="1"/>
    <xf numFmtId="0" fontId="5" fillId="6" borderId="11" xfId="0" applyFont="1" applyFill="1" applyBorder="1"/>
    <xf numFmtId="0" fontId="1" fillId="6" borderId="5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7" borderId="0" xfId="0" applyFont="1" applyFill="1"/>
    <xf numFmtId="0" fontId="1" fillId="0" borderId="0" xfId="0" applyFont="1" applyAlignment="1">
      <alignment wrapText="1"/>
    </xf>
    <xf numFmtId="0" fontId="9" fillId="8" borderId="0" xfId="0" applyFont="1" applyFill="1"/>
    <xf numFmtId="0" fontId="5" fillId="9" borderId="20" xfId="0" applyFont="1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" fillId="10" borderId="0" xfId="0" applyFont="1" applyFill="1"/>
    <xf numFmtId="0" fontId="10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11" borderId="22" xfId="0" applyFont="1" applyFill="1" applyBorder="1"/>
    <xf numFmtId="0" fontId="11" fillId="11" borderId="23" xfId="0" applyFont="1" applyFill="1" applyBorder="1"/>
    <xf numFmtId="0" fontId="11" fillId="11" borderId="22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left" vertical="center"/>
    </xf>
    <xf numFmtId="0" fontId="11" fillId="11" borderId="24" xfId="0" applyFont="1" applyFill="1" applyBorder="1"/>
    <xf numFmtId="0" fontId="9" fillId="0" borderId="25" xfId="0" applyFont="1" applyBorder="1"/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0" fontId="9" fillId="12" borderId="25" xfId="0" applyFont="1" applyFill="1" applyBorder="1"/>
    <xf numFmtId="0" fontId="11" fillId="12" borderId="21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2" fontId="10" fillId="13" borderId="21" xfId="0" applyNumberFormat="1" applyFont="1" applyFill="1" applyBorder="1" applyAlignment="1">
      <alignment horizontal="center" vertical="center"/>
    </xf>
    <xf numFmtId="2" fontId="11" fillId="13" borderId="21" xfId="0" applyNumberFormat="1" applyFont="1" applyFill="1" applyBorder="1" applyAlignment="1">
      <alignment horizontal="center" vertical="center"/>
    </xf>
    <xf numFmtId="2" fontId="11" fillId="13" borderId="26" xfId="0" applyNumberFormat="1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9" fillId="12" borderId="0" xfId="0" applyFont="1" applyFill="1" applyAlignment="1">
      <alignment horizontal="center" vertical="center"/>
    </xf>
    <xf numFmtId="0" fontId="9" fillId="12" borderId="0" xfId="0" applyFont="1" applyFill="1"/>
    <xf numFmtId="2" fontId="10" fillId="13" borderId="25" xfId="0" applyNumberFormat="1" applyFont="1" applyFill="1" applyBorder="1" applyAlignment="1">
      <alignment horizontal="center" vertical="center"/>
    </xf>
    <xf numFmtId="2" fontId="11" fillId="13" borderId="25" xfId="0" applyNumberFormat="1" applyFont="1" applyFill="1" applyBorder="1" applyAlignment="1">
      <alignment horizontal="center" vertical="center"/>
    </xf>
    <xf numFmtId="2" fontId="11" fillId="13" borderId="28" xfId="0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0" fontId="11" fillId="11" borderId="22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12" borderId="21" xfId="0" applyFont="1" applyFill="1" applyBorder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1" fillId="0" borderId="0" xfId="0" applyFont="1" applyFill="1" applyBorder="1"/>
    <xf numFmtId="14" fontId="1" fillId="0" borderId="0" xfId="0" applyNumberFormat="1" applyFont="1" applyFill="1" applyBorder="1"/>
    <xf numFmtId="0" fontId="5" fillId="0" borderId="0" xfId="0" applyFont="1" applyFill="1" applyBorder="1"/>
    <xf numFmtId="0" fontId="1" fillId="0" borderId="30" xfId="0" applyFont="1" applyFill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4" borderId="31" xfId="0" applyFont="1" applyFill="1" applyBorder="1"/>
    <xf numFmtId="0" fontId="1" fillId="4" borderId="32" xfId="0" applyFont="1" applyFill="1" applyBorder="1"/>
    <xf numFmtId="0" fontId="1" fillId="4" borderId="33" xfId="0" applyFont="1" applyFill="1" applyBorder="1"/>
    <xf numFmtId="0" fontId="5" fillId="0" borderId="34" xfId="0" applyFont="1" applyBorder="1"/>
  </cellXfs>
  <cellStyles count="1">
    <cellStyle name="Normal" xfId="0" builtinId="0"/>
  </cellStyles>
  <dxfs count="46">
    <dxf>
      <font>
        <color theme="0" tint="-0.1499984740745262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  <numFmt numFmtId="19" formatCode="dd/mm/yyyy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charset val="1"/>
        <scheme val="none"/>
      </font>
      <fill>
        <patternFill patternType="solid">
          <fgColor rgb="FFDEEBF7"/>
          <bgColor rgb="FFDEE6EF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color rgb="FF000000"/>
      </font>
      <fill>
        <patternFill>
          <bgColor theme="9" tint="0.79989013336588644"/>
        </patternFill>
      </fill>
    </dxf>
    <dxf>
      <fill>
        <patternFill>
          <bgColor theme="7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EE6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DDE8CB"/>
      <rgbColor rgb="FF9DC3E6"/>
      <rgbColor rgb="FFF4B183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:D42" totalsRowShown="0">
  <autoFilter ref="A1:D42" xr:uid="{00000000-0009-0000-0100-000002000000}"/>
  <sortState xmlns:xlrd2="http://schemas.microsoft.com/office/spreadsheetml/2017/richdata2" ref="A2:D42">
    <sortCondition ref="B1:B42"/>
  </sortState>
  <tableColumns count="4">
    <tableColumn id="1" xr3:uid="{00000000-0010-0000-0000-000001000000}" name="No module"/>
    <tableColumn id="2" xr3:uid="{00000000-0010-0000-0000-000002000000}" name="Module"/>
    <tableColumn id="3" xr3:uid="{00000000-0010-0000-0000-000003000000}" name="Nom"/>
    <tableColumn id="4" xr3:uid="{00000000-0010-0000-0000-000004000000}" name="Note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30302-B330-41F4-B27E-65550EF699F9}" name="Table2" displayName="Table2" ref="A1:E16" totalsRowShown="0" headerRowDxfId="8" dataDxfId="7" headerRowBorderDxfId="6">
  <autoFilter ref="A1:E16" xr:uid="{F6A30302-B330-41F4-B27E-65550EF699F9}"/>
  <tableColumns count="5">
    <tableColumn id="1" xr3:uid="{B966F274-FAB5-4083-AEE0-ED941948ABC5}" name="Début" dataDxfId="5"/>
    <tableColumn id="5" xr3:uid="{7185BFE3-7391-40E6-BDFB-04AF98EEF6D5}" name="Fin" dataDxfId="4"/>
    <tableColumn id="2" xr3:uid="{4499CC9E-F2C9-45AD-BDE1-8D8AE79BC82C}" name="Identifiant" dataDxfId="3"/>
    <tableColumn id="3" xr3:uid="{AAE8DA7E-C15E-4AA4-8589-BB752E4C299B}" name="Titre du projet" dataDxfId="2"/>
    <tableColumn id="4" xr3:uid="{0B557559-494E-4B8E-BCE1-40C07205B954}" name="Note obten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zoomScaleNormal="100" workbookViewId="0">
      <selection activeCell="B21" sqref="B21"/>
    </sheetView>
  </sheetViews>
  <sheetFormatPr defaultColWidth="10.75" defaultRowHeight="15.75"/>
  <cols>
    <col min="1" max="1" width="32.25" style="1" customWidth="1"/>
    <col min="2" max="2" width="11.75" style="1" customWidth="1"/>
    <col min="3" max="3" width="13.75" style="1" customWidth="1"/>
    <col min="4" max="4" width="6" style="1" customWidth="1"/>
    <col min="5" max="14" width="4.75" style="1" customWidth="1"/>
    <col min="15" max="15" width="1.75" style="1" customWidth="1"/>
    <col min="16" max="16" width="4.75" style="1" customWidth="1"/>
    <col min="17" max="17" width="1.75" style="1" customWidth="1"/>
    <col min="18" max="18" width="16.75" style="1" customWidth="1"/>
    <col min="19" max="28" width="4.75" style="1" customWidth="1"/>
    <col min="29" max="29" width="1.75" style="1" customWidth="1"/>
    <col min="30" max="30" width="4.75" style="1" customWidth="1"/>
    <col min="31" max="31" width="2.25" style="1" customWidth="1"/>
    <col min="32" max="16384" width="10.75" style="1"/>
  </cols>
  <sheetData>
    <row r="1" spans="1:31" s="3" customFormat="1" ht="18.75">
      <c r="A1" s="2" t="s">
        <v>0</v>
      </c>
    </row>
    <row r="2" spans="1:31" ht="18.75">
      <c r="A2" s="3" t="s">
        <v>1</v>
      </c>
      <c r="B2" s="3"/>
      <c r="C2" s="3"/>
      <c r="D2" s="3"/>
      <c r="E2" s="3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8.75">
      <c r="A3" s="4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5" t="s">
        <v>4</v>
      </c>
      <c r="E4" s="6" t="s">
        <v>5</v>
      </c>
      <c r="F4" s="7"/>
      <c r="G4" s="7"/>
      <c r="H4" s="7"/>
      <c r="I4" s="7"/>
      <c r="J4" s="7"/>
      <c r="K4" s="7"/>
      <c r="L4" s="7"/>
      <c r="M4" s="7"/>
      <c r="N4" s="7"/>
      <c r="O4" s="7"/>
      <c r="P4" s="8"/>
      <c r="R4" s="9"/>
      <c r="S4" s="10" t="s">
        <v>6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</row>
    <row r="5" spans="1:31">
      <c r="B5" s="1" t="s">
        <v>7</v>
      </c>
      <c r="C5" s="1" t="s">
        <v>8</v>
      </c>
      <c r="E5" s="13"/>
      <c r="P5" s="14"/>
      <c r="R5" s="13"/>
      <c r="AE5" s="14"/>
    </row>
    <row r="6" spans="1:31">
      <c r="A6" s="15" t="s">
        <v>9</v>
      </c>
      <c r="B6" s="16" t="e">
        <f t="array" ref="B6">MROUND(SUMPRODUCT(B9:B12,C9:C12)/SUMPRODUCT(--(B9:B12&lt;&gt;0),C9:C12),0.1)</f>
        <v>#DIV/0!</v>
      </c>
      <c r="E6" s="13" t="s">
        <v>10</v>
      </c>
      <c r="P6" s="14"/>
      <c r="R6" s="13"/>
      <c r="S6" s="1" t="s">
        <v>11</v>
      </c>
      <c r="AE6" s="14"/>
    </row>
    <row r="7" spans="1:31">
      <c r="E7" s="17"/>
      <c r="F7" s="18"/>
      <c r="G7" s="18"/>
      <c r="H7" s="18"/>
      <c r="I7" s="18"/>
      <c r="J7" s="18"/>
      <c r="K7" s="18"/>
      <c r="L7" s="18"/>
      <c r="M7" s="18"/>
      <c r="N7" s="19"/>
      <c r="P7" s="20">
        <f>IFERROR(MROUND(AVERAGEIF(E7:N7,"&lt;&gt;0"),0.5),0)</f>
        <v>0</v>
      </c>
      <c r="R7" s="21" t="s">
        <v>12</v>
      </c>
      <c r="S7" s="105"/>
      <c r="T7" s="106"/>
      <c r="U7" s="106"/>
      <c r="V7" s="106"/>
      <c r="W7" s="106"/>
      <c r="X7" s="106"/>
      <c r="Y7" s="106"/>
      <c r="Z7" s="106"/>
      <c r="AA7" s="106"/>
      <c r="AB7" s="107"/>
      <c r="AD7" s="108">
        <f>IFERROR(MROUND(AVERAGEIF(S7:AB7,"&lt;&gt;0"),0.5),0)</f>
        <v>0</v>
      </c>
      <c r="AE7" s="14"/>
    </row>
    <row r="8" spans="1:31">
      <c r="A8" s="5" t="s">
        <v>13</v>
      </c>
      <c r="E8" s="13"/>
      <c r="P8" s="25"/>
      <c r="R8" s="103"/>
      <c r="S8" s="100"/>
      <c r="T8" s="100"/>
      <c r="U8" s="100"/>
      <c r="V8" s="101"/>
      <c r="W8" s="100"/>
      <c r="X8" s="100"/>
      <c r="Y8" s="100"/>
      <c r="Z8" s="100"/>
      <c r="AA8" s="100"/>
      <c r="AB8" s="100"/>
      <c r="AC8" s="100"/>
      <c r="AD8" s="102"/>
      <c r="AE8" s="14"/>
    </row>
    <row r="9" spans="1:31">
      <c r="A9" s="26" t="s">
        <v>14</v>
      </c>
      <c r="B9" s="27">
        <v>0</v>
      </c>
      <c r="C9" s="28">
        <v>0.4</v>
      </c>
      <c r="E9" s="13" t="s">
        <v>15</v>
      </c>
      <c r="P9" s="25"/>
      <c r="R9" s="104"/>
      <c r="S9" s="1" t="s">
        <v>16</v>
      </c>
      <c r="AD9" s="29"/>
      <c r="AE9" s="14"/>
    </row>
    <row r="10" spans="1:31">
      <c r="A10" s="30" t="s">
        <v>5</v>
      </c>
      <c r="B10" s="31" t="e">
        <f>P30</f>
        <v>#DIV/0!</v>
      </c>
      <c r="C10" s="28">
        <v>0.1</v>
      </c>
      <c r="E10" s="32"/>
      <c r="F10" s="22"/>
      <c r="G10" s="22"/>
      <c r="H10" s="22"/>
      <c r="I10" s="22"/>
      <c r="J10" s="22"/>
      <c r="K10" s="22"/>
      <c r="L10" s="22"/>
      <c r="M10" s="22"/>
      <c r="N10" s="23"/>
      <c r="P10" s="20">
        <f>IFERROR(MROUND(AVERAGEIF(E10:N10,"&lt;&gt;0"),0.5),0)</f>
        <v>0</v>
      </c>
      <c r="R10" s="104" t="s">
        <v>17</v>
      </c>
      <c r="S10" s="105"/>
      <c r="T10" s="106"/>
      <c r="U10" s="106"/>
      <c r="V10" s="106"/>
      <c r="W10" s="106"/>
      <c r="X10" s="106"/>
      <c r="Y10" s="106"/>
      <c r="Z10" s="106"/>
      <c r="AA10" s="106"/>
      <c r="AB10" s="107"/>
      <c r="AD10" s="108">
        <f>IFERROR(MROUND(AVERAGEIF(S10:AB10,"&lt;&gt;0"),0.5),0)</f>
        <v>0</v>
      </c>
      <c r="AE10" s="14"/>
    </row>
    <row r="11" spans="1:31">
      <c r="A11" s="33" t="s">
        <v>18</v>
      </c>
      <c r="B11" s="31">
        <f t="array" ref="B11">IFERROR(MROUND(SUMPRODUCT(B17:B18,C17:C18)/SUMPRODUCT(--(B17:B18&lt;&gt;0),C17:C18),0.5),0)</f>
        <v>0</v>
      </c>
      <c r="C11" s="28">
        <v>0.3</v>
      </c>
      <c r="E11" s="13"/>
      <c r="P11" s="25"/>
      <c r="R11" s="103"/>
      <c r="S11" s="100"/>
      <c r="T11" s="100"/>
      <c r="U11" s="100"/>
      <c r="V11" s="101"/>
      <c r="W11" s="100"/>
      <c r="X11" s="100"/>
      <c r="Y11" s="100"/>
      <c r="Z11" s="100"/>
      <c r="AA11" s="100"/>
      <c r="AB11" s="100"/>
      <c r="AC11" s="100"/>
      <c r="AD11" s="102"/>
      <c r="AE11" s="14"/>
    </row>
    <row r="12" spans="1:31">
      <c r="A12" s="34" t="s">
        <v>6</v>
      </c>
      <c r="B12" s="35" t="e">
        <f>AD36</f>
        <v>#DIV/0!</v>
      </c>
      <c r="C12" s="28">
        <v>0.2</v>
      </c>
      <c r="E12" s="13" t="s">
        <v>19</v>
      </c>
      <c r="P12" s="25"/>
      <c r="R12" s="104"/>
      <c r="S12" s="1" t="s">
        <v>20</v>
      </c>
      <c r="AD12" s="29"/>
      <c r="AE12" s="14"/>
    </row>
    <row r="13" spans="1:31">
      <c r="E13" s="32"/>
      <c r="F13" s="22"/>
      <c r="G13" s="22"/>
      <c r="H13" s="22"/>
      <c r="I13" s="22"/>
      <c r="J13" s="22"/>
      <c r="K13" s="22"/>
      <c r="L13" s="22"/>
      <c r="M13" s="22"/>
      <c r="N13" s="23"/>
      <c r="P13" s="20">
        <f>IFERROR(MROUND(AVERAGEIF(E13:N13,"&lt;&gt;0"),0.5),0)</f>
        <v>0</v>
      </c>
      <c r="R13" s="104" t="s">
        <v>17</v>
      </c>
      <c r="S13" s="105"/>
      <c r="T13" s="106"/>
      <c r="U13" s="106"/>
      <c r="V13" s="106"/>
      <c r="W13" s="106"/>
      <c r="X13" s="106"/>
      <c r="Y13" s="106"/>
      <c r="Z13" s="106"/>
      <c r="AA13" s="106"/>
      <c r="AB13" s="107"/>
      <c r="AD13" s="108">
        <f>IFERROR(MROUND(AVERAGEIF(S13:AB13,"&lt;&gt;0"),0.5),0)</f>
        <v>0</v>
      </c>
      <c r="AE13" s="14"/>
    </row>
    <row r="14" spans="1:31">
      <c r="E14" s="13"/>
      <c r="P14" s="25"/>
      <c r="R14" s="103"/>
      <c r="S14" s="100"/>
      <c r="T14" s="100"/>
      <c r="U14" s="100"/>
      <c r="V14" s="101"/>
      <c r="W14" s="100"/>
      <c r="X14" s="100"/>
      <c r="Y14" s="100"/>
      <c r="Z14" s="100"/>
      <c r="AA14" s="100"/>
      <c r="AB14" s="100"/>
      <c r="AC14" s="100"/>
      <c r="AD14" s="102"/>
      <c r="AE14" s="14"/>
    </row>
    <row r="15" spans="1:31">
      <c r="E15" s="13" t="s">
        <v>21</v>
      </c>
      <c r="P15" s="25"/>
      <c r="R15" s="104"/>
      <c r="S15" s="1" t="s">
        <v>22</v>
      </c>
      <c r="AD15" s="29"/>
      <c r="AE15" s="14"/>
    </row>
    <row r="16" spans="1:31">
      <c r="E16" s="32"/>
      <c r="F16" s="22"/>
      <c r="G16" s="22"/>
      <c r="H16" s="22"/>
      <c r="I16" s="22"/>
      <c r="J16" s="22"/>
      <c r="K16" s="22"/>
      <c r="L16" s="22"/>
      <c r="M16" s="22"/>
      <c r="N16" s="23"/>
      <c r="P16" s="20">
        <f>IFERROR(MROUND(AVERAGEIF(E16:N16,"&lt;&gt;0"),0.5),0)</f>
        <v>0</v>
      </c>
      <c r="R16" s="104" t="s">
        <v>17</v>
      </c>
      <c r="S16" s="105"/>
      <c r="T16" s="106"/>
      <c r="U16" s="106"/>
      <c r="V16" s="106"/>
      <c r="W16" s="106"/>
      <c r="X16" s="106"/>
      <c r="Y16" s="106"/>
      <c r="Z16" s="106"/>
      <c r="AA16" s="106"/>
      <c r="AB16" s="107"/>
      <c r="AD16" s="108">
        <f>IFERROR(MROUND(AVERAGEIF(S16:AB16,"&lt;&gt;0"),0.5),0)</f>
        <v>0</v>
      </c>
      <c r="AE16" s="14"/>
    </row>
    <row r="17" spans="1:31">
      <c r="A17" s="33" t="s">
        <v>23</v>
      </c>
      <c r="B17" s="36">
        <f>IFERROR(MROUND(AVERAGEIFS(Table1[Note],Table1[Module], "=EPSIC",Table1[Note],"&lt;&gt;0"),0.5),0)</f>
        <v>0</v>
      </c>
      <c r="C17" s="28">
        <v>0.8</v>
      </c>
      <c r="E17" s="13"/>
      <c r="P17" s="25"/>
      <c r="R17" s="103"/>
      <c r="S17" s="100"/>
      <c r="T17" s="100"/>
      <c r="U17" s="100"/>
      <c r="V17" s="101"/>
      <c r="W17" s="100"/>
      <c r="X17" s="100"/>
      <c r="Y17" s="100"/>
      <c r="Z17" s="100"/>
      <c r="AA17" s="100"/>
      <c r="AB17" s="100"/>
      <c r="AC17" s="100"/>
      <c r="AD17" s="102"/>
      <c r="AE17" s="14"/>
    </row>
    <row r="18" spans="1:31">
      <c r="A18" s="33" t="s">
        <v>24</v>
      </c>
      <c r="B18" s="24">
        <f>IFERROR(MROUND(AVERAGEIFS(Table1[Note],Table1[Module], "=CIE",Table1[Note],"&lt;&gt;0"),0.5),0)</f>
        <v>0</v>
      </c>
      <c r="C18" s="28">
        <v>0.2</v>
      </c>
      <c r="E18" s="13" t="s">
        <v>25</v>
      </c>
      <c r="P18" s="25"/>
      <c r="R18" s="104"/>
      <c r="S18" s="1" t="s">
        <v>26</v>
      </c>
      <c r="AD18" s="29"/>
      <c r="AE18" s="14"/>
    </row>
    <row r="19" spans="1:31">
      <c r="E19" s="32"/>
      <c r="F19" s="22"/>
      <c r="G19" s="22"/>
      <c r="H19" s="22"/>
      <c r="I19" s="22"/>
      <c r="J19" s="22"/>
      <c r="K19" s="22"/>
      <c r="L19" s="22"/>
      <c r="M19" s="22"/>
      <c r="N19" s="23"/>
      <c r="P19" s="20">
        <f>IFERROR(MROUND(AVERAGEIF(E19:N19,"&lt;&gt;0"),0.5),0)</f>
        <v>0</v>
      </c>
      <c r="R19" s="104" t="s">
        <v>17</v>
      </c>
      <c r="S19" s="105"/>
      <c r="T19" s="106"/>
      <c r="U19" s="106"/>
      <c r="V19" s="106"/>
      <c r="W19" s="106"/>
      <c r="X19" s="106"/>
      <c r="Y19" s="106"/>
      <c r="Z19" s="106"/>
      <c r="AA19" s="106"/>
      <c r="AB19" s="107"/>
      <c r="AD19" s="108">
        <f>IFERROR(MROUND(AVERAGEIF(S19:AB19,"&lt;&gt;0"),0.5),0)</f>
        <v>0</v>
      </c>
      <c r="AE19" s="14"/>
    </row>
    <row r="20" spans="1:31">
      <c r="E20" s="37"/>
      <c r="P20" s="25"/>
      <c r="R20" s="103"/>
      <c r="S20" s="100"/>
      <c r="T20" s="100"/>
      <c r="U20" s="100"/>
      <c r="V20" s="101"/>
      <c r="W20" s="100"/>
      <c r="X20" s="100"/>
      <c r="Y20" s="100"/>
      <c r="Z20" s="100"/>
      <c r="AA20" s="100"/>
      <c r="AB20" s="100"/>
      <c r="AC20" s="100"/>
      <c r="AD20" s="102"/>
      <c r="AE20" s="14"/>
    </row>
    <row r="21" spans="1:31">
      <c r="E21" s="13" t="s">
        <v>27</v>
      </c>
      <c r="P21" s="25"/>
      <c r="R21" s="104"/>
      <c r="S21" s="1" t="s">
        <v>28</v>
      </c>
      <c r="AD21" s="29"/>
      <c r="AE21" s="14"/>
    </row>
    <row r="22" spans="1:31">
      <c r="E22" s="32"/>
      <c r="F22" s="22"/>
      <c r="G22" s="22"/>
      <c r="H22" s="22"/>
      <c r="I22" s="22"/>
      <c r="J22" s="22"/>
      <c r="K22" s="22"/>
      <c r="L22" s="22"/>
      <c r="M22" s="22"/>
      <c r="N22" s="23"/>
      <c r="P22" s="20">
        <f>IFERROR(MROUND(AVERAGEIF(E22:N22,"&lt;&gt;0"),0.5),0)</f>
        <v>0</v>
      </c>
      <c r="R22" s="104" t="s">
        <v>17</v>
      </c>
      <c r="S22" s="105"/>
      <c r="T22" s="106"/>
      <c r="U22" s="106"/>
      <c r="V22" s="106"/>
      <c r="W22" s="106"/>
      <c r="X22" s="106"/>
      <c r="Y22" s="106"/>
      <c r="Z22" s="106"/>
      <c r="AA22" s="106"/>
      <c r="AB22" s="107"/>
      <c r="AD22" s="108">
        <f>IFERROR(MROUND(AVERAGEIF(S22:AB22,"&lt;&gt;0"),0.5),0)</f>
        <v>0</v>
      </c>
      <c r="AE22" s="14"/>
    </row>
    <row r="23" spans="1:31">
      <c r="E23" s="13"/>
      <c r="P23" s="25"/>
      <c r="R23" s="103"/>
      <c r="S23" s="100"/>
      <c r="T23" s="100"/>
      <c r="U23" s="100"/>
      <c r="V23" s="101"/>
      <c r="W23" s="100"/>
      <c r="X23" s="100"/>
      <c r="Y23" s="100"/>
      <c r="Z23" s="100"/>
      <c r="AA23" s="100"/>
      <c r="AB23" s="100"/>
      <c r="AC23" s="100"/>
      <c r="AD23" s="102"/>
      <c r="AE23" s="14"/>
    </row>
    <row r="24" spans="1:31">
      <c r="E24" s="13" t="s">
        <v>29</v>
      </c>
      <c r="P24" s="25"/>
      <c r="R24" s="104"/>
      <c r="S24" s="1" t="s">
        <v>30</v>
      </c>
      <c r="AD24" s="29"/>
      <c r="AE24" s="14"/>
    </row>
    <row r="25" spans="1:31">
      <c r="E25" s="32"/>
      <c r="F25" s="22"/>
      <c r="G25" s="22"/>
      <c r="H25" s="22"/>
      <c r="I25" s="22"/>
      <c r="J25" s="22"/>
      <c r="K25" s="22"/>
      <c r="L25" s="22"/>
      <c r="M25" s="22"/>
      <c r="N25" s="23"/>
      <c r="P25" s="20">
        <f>IFERROR(MROUND(AVERAGEIF(E25:N25,"&lt;&gt;0"),0.5),0)</f>
        <v>0</v>
      </c>
      <c r="R25" s="104" t="s">
        <v>17</v>
      </c>
      <c r="S25" s="105"/>
      <c r="T25" s="106"/>
      <c r="U25" s="106"/>
      <c r="V25" s="106"/>
      <c r="W25" s="106"/>
      <c r="X25" s="106"/>
      <c r="Y25" s="106"/>
      <c r="Z25" s="106"/>
      <c r="AA25" s="106"/>
      <c r="AB25" s="107"/>
      <c r="AD25" s="108">
        <f>IFERROR(MROUND(AVERAGEIF(S25:AB25,"&lt;&gt;0"),0.5),0)</f>
        <v>0</v>
      </c>
      <c r="AE25" s="14"/>
    </row>
    <row r="26" spans="1:31">
      <c r="E26" s="13"/>
      <c r="P26" s="25"/>
      <c r="R26" s="103"/>
      <c r="S26" s="100"/>
      <c r="T26" s="100"/>
      <c r="U26" s="100"/>
      <c r="V26" s="101"/>
      <c r="W26" s="100"/>
      <c r="X26" s="100"/>
      <c r="Y26" s="100"/>
      <c r="Z26" s="100"/>
      <c r="AA26" s="100"/>
      <c r="AB26" s="100"/>
      <c r="AC26" s="100"/>
      <c r="AD26" s="102"/>
      <c r="AE26" s="14"/>
    </row>
    <row r="27" spans="1:31">
      <c r="E27" s="13" t="s">
        <v>31</v>
      </c>
      <c r="P27" s="25"/>
      <c r="R27" s="104"/>
      <c r="S27" s="1" t="s">
        <v>32</v>
      </c>
      <c r="AD27" s="29"/>
      <c r="AE27" s="14"/>
    </row>
    <row r="28" spans="1:31">
      <c r="E28" s="32"/>
      <c r="F28" s="22"/>
      <c r="G28" s="22"/>
      <c r="H28" s="22"/>
      <c r="I28" s="22"/>
      <c r="J28" s="22"/>
      <c r="K28" s="22"/>
      <c r="L28" s="22"/>
      <c r="M28" s="22"/>
      <c r="N28" s="23"/>
      <c r="P28" s="20">
        <f>IFERROR(MROUND(AVERAGEIF(E28:N28,"&lt;&gt;0"),0.5),0)</f>
        <v>0</v>
      </c>
      <c r="R28" s="104" t="s">
        <v>17</v>
      </c>
      <c r="S28" s="105"/>
      <c r="T28" s="106"/>
      <c r="U28" s="106"/>
      <c r="V28" s="106"/>
      <c r="W28" s="106"/>
      <c r="X28" s="106"/>
      <c r="Y28" s="106"/>
      <c r="Z28" s="106"/>
      <c r="AA28" s="106"/>
      <c r="AB28" s="107"/>
      <c r="AD28" s="108">
        <f>IFERROR(MROUND(AVERAGEIF(S28:AB28,"&lt;&gt;0"),0.5),0)</f>
        <v>0</v>
      </c>
      <c r="AE28" s="14"/>
    </row>
    <row r="29" spans="1:31">
      <c r="E29" s="13"/>
      <c r="P29" s="25"/>
      <c r="R29" s="103"/>
      <c r="S29" s="100"/>
      <c r="T29" s="100"/>
      <c r="U29" s="100"/>
      <c r="V29" s="101"/>
      <c r="W29" s="100"/>
      <c r="X29" s="100"/>
      <c r="Y29" s="100"/>
      <c r="Z29" s="100"/>
      <c r="AA29" s="100"/>
      <c r="AB29" s="100"/>
      <c r="AC29" s="100"/>
      <c r="AD29" s="102"/>
      <c r="AE29" s="14"/>
    </row>
    <row r="30" spans="1:31">
      <c r="E30" s="38"/>
      <c r="F30" s="39"/>
      <c r="G30" s="39"/>
      <c r="H30" s="39"/>
      <c r="I30" s="39"/>
      <c r="J30" s="39"/>
      <c r="K30" s="39"/>
      <c r="L30" s="39"/>
      <c r="M30" s="39"/>
      <c r="N30" s="40" t="s">
        <v>33</v>
      </c>
      <c r="O30" s="39"/>
      <c r="P30" s="41" t="e">
        <f>MROUND(AVERAGEIF(P7:P28, "&lt;&gt;0"),0.5)</f>
        <v>#DIV/0!</v>
      </c>
      <c r="R30" s="13"/>
      <c r="AD30" s="29"/>
      <c r="AE30" s="14"/>
    </row>
    <row r="31" spans="1:31">
      <c r="R31" s="13"/>
      <c r="AB31" s="5" t="s">
        <v>34</v>
      </c>
      <c r="AD31" s="42"/>
      <c r="AE31" s="14"/>
    </row>
    <row r="32" spans="1:31">
      <c r="R32" s="13"/>
      <c r="AD32" s="29"/>
      <c r="AE32" s="14"/>
    </row>
    <row r="33" spans="18:31">
      <c r="R33" s="13"/>
      <c r="AB33" s="5" t="s">
        <v>35</v>
      </c>
      <c r="AD33" s="24" t="e">
        <f>MROUND(AVERAGEIF(AD7:AD29,"&lt;&gt;0"),0.5)</f>
        <v>#DIV/0!</v>
      </c>
      <c r="AE33" s="43">
        <v>1</v>
      </c>
    </row>
    <row r="34" spans="18:31">
      <c r="R34" s="13"/>
      <c r="AB34" s="5" t="s">
        <v>34</v>
      </c>
      <c r="AD34" s="24">
        <f>AD31</f>
        <v>0</v>
      </c>
      <c r="AE34" s="43">
        <v>1</v>
      </c>
    </row>
    <row r="35" spans="18:31">
      <c r="R35" s="13"/>
      <c r="AD35" s="29"/>
      <c r="AE35" s="14"/>
    </row>
    <row r="36" spans="18:31">
      <c r="R36" s="38"/>
      <c r="S36" s="39"/>
      <c r="T36" s="39"/>
      <c r="U36" s="39"/>
      <c r="V36" s="39"/>
      <c r="W36" s="39"/>
      <c r="X36" s="39"/>
      <c r="Y36" s="39"/>
      <c r="Z36" s="39"/>
      <c r="AA36" s="39"/>
      <c r="AB36" s="40" t="s">
        <v>36</v>
      </c>
      <c r="AC36" s="39"/>
      <c r="AD36" s="44" t="e">
        <f t="array" ref="AD36">MROUND(SUMPRODUCT(AD33:AD34,AE33:AE34)/SUMPRODUCT(--(AD33:AD34&lt;&gt;0),AE33:AE34),0.5)</f>
        <v>#DIV/0!</v>
      </c>
      <c r="AE36" s="45"/>
    </row>
  </sheetData>
  <conditionalFormatting sqref="AD28">
    <cfRule type="cellIs" dxfId="45" priority="3" operator="greaterThan">
      <formula>4</formula>
    </cfRule>
  </conditionalFormatting>
  <conditionalFormatting sqref="AD25">
    <cfRule type="cellIs" dxfId="44" priority="5" operator="greaterThan">
      <formula>4</formula>
    </cfRule>
  </conditionalFormatting>
  <conditionalFormatting sqref="AD22">
    <cfRule type="cellIs" dxfId="43" priority="7" operator="greaterThan">
      <formula>4</formula>
    </cfRule>
  </conditionalFormatting>
  <conditionalFormatting sqref="AD19">
    <cfRule type="cellIs" dxfId="42" priority="9" operator="greaterThan">
      <formula>4</formula>
    </cfRule>
  </conditionalFormatting>
  <conditionalFormatting sqref="AD16">
    <cfRule type="cellIs" dxfId="41" priority="11" operator="greaterThan">
      <formula>4</formula>
    </cfRule>
  </conditionalFormatting>
  <conditionalFormatting sqref="AD13">
    <cfRule type="cellIs" dxfId="40" priority="13" operator="greaterThan">
      <formula>4</formula>
    </cfRule>
  </conditionalFormatting>
  <conditionalFormatting sqref="AD10">
    <cfRule type="cellIs" dxfId="39" priority="15" operator="greaterThan">
      <formula>4</formula>
    </cfRule>
  </conditionalFormatting>
  <conditionalFormatting sqref="AD7">
    <cfRule type="cellIs" dxfId="38" priority="17" operator="greaterThan">
      <formula>4</formula>
    </cfRule>
  </conditionalFormatting>
  <conditionalFormatting sqref="P28">
    <cfRule type="cellIs" dxfId="37" priority="18" operator="lessThan">
      <formula>4</formula>
    </cfRule>
    <cfRule type="cellIs" dxfId="36" priority="19" operator="greaterThan">
      <formula>4</formula>
    </cfRule>
  </conditionalFormatting>
  <conditionalFormatting sqref="P25">
    <cfRule type="cellIs" dxfId="35" priority="20" operator="lessThan">
      <formula>4</formula>
    </cfRule>
    <cfRule type="cellIs" dxfId="34" priority="21" operator="greaterThan">
      <formula>4</formula>
    </cfRule>
  </conditionalFormatting>
  <conditionalFormatting sqref="P22">
    <cfRule type="cellIs" dxfId="33" priority="22" operator="lessThan">
      <formula>4</formula>
    </cfRule>
    <cfRule type="cellIs" dxfId="32" priority="23" operator="greaterThan">
      <formula>4</formula>
    </cfRule>
  </conditionalFormatting>
  <conditionalFormatting sqref="P19">
    <cfRule type="cellIs" dxfId="31" priority="24" operator="lessThan">
      <formula>4</formula>
    </cfRule>
    <cfRule type="cellIs" dxfId="30" priority="25" operator="greaterThan">
      <formula>4</formula>
    </cfRule>
  </conditionalFormatting>
  <conditionalFormatting sqref="P16">
    <cfRule type="cellIs" dxfId="29" priority="26" operator="lessThan">
      <formula>4</formula>
    </cfRule>
    <cfRule type="cellIs" dxfId="28" priority="27" operator="greaterThan">
      <formula>4</formula>
    </cfRule>
  </conditionalFormatting>
  <conditionalFormatting sqref="P13">
    <cfRule type="cellIs" dxfId="27" priority="28" operator="lessThan">
      <formula>4</formula>
    </cfRule>
    <cfRule type="cellIs" dxfId="26" priority="29" operator="greaterThan">
      <formula>4</formula>
    </cfRule>
  </conditionalFormatting>
  <conditionalFormatting sqref="P10">
    <cfRule type="cellIs" dxfId="25" priority="30" operator="lessThan">
      <formula>4</formula>
    </cfRule>
    <cfRule type="cellIs" dxfId="24" priority="31" operator="greaterThan">
      <formula>4</formula>
    </cfRule>
  </conditionalFormatting>
  <conditionalFormatting sqref="B6">
    <cfRule type="cellIs" dxfId="23" priority="32" operator="lessThan">
      <formula>4</formula>
    </cfRule>
    <cfRule type="cellIs" dxfId="22" priority="33" operator="greaterThan">
      <formula>4</formula>
    </cfRule>
  </conditionalFormatting>
  <conditionalFormatting sqref="P7">
    <cfRule type="cellIs" dxfId="21" priority="34" operator="lessThan">
      <formula>4</formula>
    </cfRule>
    <cfRule type="cellIs" dxfId="20" priority="35" operator="greaterThan">
      <formula>4</formula>
    </cfRule>
  </conditionalFormatting>
  <conditionalFormatting sqref="AD7">
    <cfRule type="cellIs" dxfId="19" priority="16" operator="lessThan">
      <formula>4</formula>
    </cfRule>
  </conditionalFormatting>
  <conditionalFormatting sqref="AD10">
    <cfRule type="cellIs" dxfId="18" priority="14" operator="lessThan">
      <formula>4</formula>
    </cfRule>
  </conditionalFormatting>
  <conditionalFormatting sqref="AD13">
    <cfRule type="cellIs" dxfId="17" priority="12" operator="lessThan">
      <formula>4</formula>
    </cfRule>
  </conditionalFormatting>
  <conditionalFormatting sqref="AD16">
    <cfRule type="cellIs" dxfId="16" priority="10" operator="lessThan">
      <formula>4</formula>
    </cfRule>
  </conditionalFormatting>
  <conditionalFormatting sqref="AD19">
    <cfRule type="cellIs" dxfId="15" priority="8" operator="lessThan">
      <formula>4</formula>
    </cfRule>
  </conditionalFormatting>
  <conditionalFormatting sqref="AD22">
    <cfRule type="cellIs" dxfId="14" priority="6" operator="lessThan">
      <formula>4</formula>
    </cfRule>
  </conditionalFormatting>
  <conditionalFormatting sqref="AD25">
    <cfRule type="cellIs" dxfId="13" priority="4" operator="lessThan">
      <formula>4</formula>
    </cfRule>
  </conditionalFormatting>
  <conditionalFormatting sqref="AD28">
    <cfRule type="cellIs" dxfId="12" priority="2" operator="lessThan">
      <formula>4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zoomScaleNormal="100" workbookViewId="0">
      <selection activeCell="E23" sqref="E23"/>
    </sheetView>
  </sheetViews>
  <sheetFormatPr defaultColWidth="8.75" defaultRowHeight="15.75"/>
  <cols>
    <col min="1" max="1" width="13.75" style="1" customWidth="1"/>
    <col min="2" max="2" width="9.75" style="1" customWidth="1"/>
    <col min="3" max="3" width="75.5" style="1" customWidth="1"/>
    <col min="4" max="4" width="10.75" style="1" customWidth="1"/>
    <col min="5" max="5" width="9.75" style="1" customWidth="1"/>
    <col min="6" max="16384" width="8.75" style="1"/>
  </cols>
  <sheetData>
    <row r="1" spans="1:4">
      <c r="A1" s="46" t="s">
        <v>37</v>
      </c>
      <c r="B1" s="46" t="s">
        <v>38</v>
      </c>
      <c r="C1" s="46" t="s">
        <v>39</v>
      </c>
      <c r="D1" s="46" t="s">
        <v>40</v>
      </c>
    </row>
    <row r="2" spans="1:4">
      <c r="A2" s="1">
        <v>106</v>
      </c>
      <c r="B2" s="1" t="s">
        <v>41</v>
      </c>
      <c r="C2" s="47" t="s">
        <v>42</v>
      </c>
      <c r="D2" s="53"/>
    </row>
    <row r="3" spans="1:4">
      <c r="A3" s="1">
        <v>107</v>
      </c>
      <c r="B3" s="1" t="s">
        <v>41</v>
      </c>
      <c r="C3" s="47" t="s">
        <v>43</v>
      </c>
      <c r="D3" s="53"/>
    </row>
    <row r="4" spans="1:4">
      <c r="A4" s="1">
        <v>109</v>
      </c>
      <c r="B4" s="1" t="s">
        <v>41</v>
      </c>
      <c r="C4" s="47" t="s">
        <v>44</v>
      </c>
      <c r="D4" s="53"/>
    </row>
    <row r="5" spans="1:4">
      <c r="A5" s="1">
        <v>110</v>
      </c>
      <c r="B5" s="1" t="s">
        <v>41</v>
      </c>
      <c r="C5" s="47" t="s">
        <v>45</v>
      </c>
      <c r="D5" s="53"/>
    </row>
    <row r="6" spans="1:4">
      <c r="A6" s="1">
        <v>185</v>
      </c>
      <c r="B6" s="1" t="s">
        <v>41</v>
      </c>
      <c r="C6" s="47" t="s">
        <v>46</v>
      </c>
      <c r="D6" s="53"/>
    </row>
    <row r="7" spans="1:4">
      <c r="A7" s="1">
        <v>187</v>
      </c>
      <c r="B7" s="1" t="s">
        <v>41</v>
      </c>
      <c r="C7" s="47" t="s">
        <v>47</v>
      </c>
      <c r="D7" s="53"/>
    </row>
    <row r="8" spans="1:4">
      <c r="A8" s="1">
        <v>190</v>
      </c>
      <c r="B8" s="1" t="s">
        <v>41</v>
      </c>
      <c r="C8" s="47" t="s">
        <v>48</v>
      </c>
      <c r="D8" s="53"/>
    </row>
    <row r="9" spans="1:4">
      <c r="A9" s="1">
        <v>210</v>
      </c>
      <c r="B9" s="1" t="s">
        <v>41</v>
      </c>
      <c r="C9" s="47" t="s">
        <v>49</v>
      </c>
      <c r="D9" s="53"/>
    </row>
    <row r="10" spans="1:4">
      <c r="A10" s="1">
        <v>216</v>
      </c>
      <c r="B10" s="1" t="s">
        <v>41</v>
      </c>
      <c r="C10" s="47" t="s">
        <v>50</v>
      </c>
      <c r="D10" s="53"/>
    </row>
    <row r="11" spans="1:4">
      <c r="A11" s="1">
        <v>217</v>
      </c>
      <c r="B11" s="1" t="s">
        <v>41</v>
      </c>
      <c r="C11" s="47" t="s">
        <v>51</v>
      </c>
      <c r="D11" s="53"/>
    </row>
    <row r="12" spans="1:4">
      <c r="A12" s="1">
        <v>223</v>
      </c>
      <c r="B12" s="1" t="s">
        <v>41</v>
      </c>
      <c r="C12" s="47" t="s">
        <v>52</v>
      </c>
      <c r="D12" s="53"/>
    </row>
    <row r="13" spans="1:4">
      <c r="A13" s="1">
        <v>248</v>
      </c>
      <c r="B13" s="1" t="s">
        <v>41</v>
      </c>
      <c r="C13" s="47" t="s">
        <v>53</v>
      </c>
      <c r="D13" s="53"/>
    </row>
    <row r="14" spans="1:4">
      <c r="A14" s="1">
        <v>259</v>
      </c>
      <c r="B14" s="1" t="s">
        <v>41</v>
      </c>
      <c r="C14" s="47" t="s">
        <v>54</v>
      </c>
      <c r="D14" s="53"/>
    </row>
    <row r="15" spans="1:4">
      <c r="A15" s="1">
        <v>294</v>
      </c>
      <c r="B15" s="1" t="s">
        <v>41</v>
      </c>
      <c r="C15" s="47" t="s">
        <v>55</v>
      </c>
      <c r="D15" s="53"/>
    </row>
    <row r="16" spans="1:4">
      <c r="A16" s="1">
        <v>295</v>
      </c>
      <c r="B16" s="1" t="s">
        <v>41</v>
      </c>
      <c r="C16" s="47" t="s">
        <v>56</v>
      </c>
      <c r="D16" s="53"/>
    </row>
    <row r="17" spans="1:4">
      <c r="A17" s="1">
        <v>335</v>
      </c>
      <c r="B17" s="1" t="s">
        <v>41</v>
      </c>
      <c r="C17" s="47" t="s">
        <v>57</v>
      </c>
      <c r="D17" s="53"/>
    </row>
    <row r="18" spans="1:4">
      <c r="A18" s="1">
        <v>114</v>
      </c>
      <c r="B18" s="1" t="s">
        <v>58</v>
      </c>
      <c r="C18" s="47" t="s">
        <v>59</v>
      </c>
      <c r="D18" s="53"/>
    </row>
    <row r="19" spans="1:4">
      <c r="A19" s="1">
        <v>117</v>
      </c>
      <c r="B19" s="1" t="s">
        <v>58</v>
      </c>
      <c r="C19" s="47" t="s">
        <v>60</v>
      </c>
      <c r="D19" s="53"/>
    </row>
    <row r="20" spans="1:4">
      <c r="A20" s="1">
        <v>122</v>
      </c>
      <c r="B20" s="1" t="s">
        <v>58</v>
      </c>
      <c r="C20" s="47" t="s">
        <v>61</v>
      </c>
      <c r="D20" s="53"/>
    </row>
    <row r="21" spans="1:4">
      <c r="A21" s="1">
        <v>162</v>
      </c>
      <c r="B21" s="1" t="s">
        <v>58</v>
      </c>
      <c r="C21" s="47" t="s">
        <v>62</v>
      </c>
      <c r="D21" s="53"/>
    </row>
    <row r="22" spans="1:4">
      <c r="A22" s="1">
        <v>164</v>
      </c>
      <c r="B22" s="1" t="s">
        <v>58</v>
      </c>
      <c r="C22" s="47" t="s">
        <v>63</v>
      </c>
      <c r="D22" s="53"/>
    </row>
    <row r="23" spans="1:4">
      <c r="A23" s="1">
        <v>165</v>
      </c>
      <c r="B23" s="1" t="s">
        <v>58</v>
      </c>
      <c r="C23" s="47" t="s">
        <v>64</v>
      </c>
      <c r="D23" s="53"/>
    </row>
    <row r="24" spans="1:4">
      <c r="A24" s="1">
        <v>183</v>
      </c>
      <c r="B24" s="1" t="s">
        <v>58</v>
      </c>
      <c r="C24" s="47" t="s">
        <v>65</v>
      </c>
      <c r="D24" s="53"/>
    </row>
    <row r="25" spans="1:4">
      <c r="A25" s="1">
        <v>231</v>
      </c>
      <c r="B25" s="1" t="s">
        <v>58</v>
      </c>
      <c r="C25" s="47" t="s">
        <v>66</v>
      </c>
      <c r="D25" s="53"/>
    </row>
    <row r="26" spans="1:4">
      <c r="A26" s="1">
        <v>241</v>
      </c>
      <c r="B26" s="1" t="s">
        <v>58</v>
      </c>
      <c r="C26" s="47" t="s">
        <v>67</v>
      </c>
      <c r="D26" s="53"/>
    </row>
    <row r="27" spans="1:4">
      <c r="A27" s="1">
        <v>245</v>
      </c>
      <c r="B27" s="1" t="s">
        <v>58</v>
      </c>
      <c r="C27" s="47" t="s">
        <v>68</v>
      </c>
      <c r="D27" s="53"/>
    </row>
    <row r="28" spans="1:4">
      <c r="A28" s="1">
        <v>254</v>
      </c>
      <c r="B28" s="1" t="s">
        <v>58</v>
      </c>
      <c r="C28" s="47" t="s">
        <v>69</v>
      </c>
      <c r="D28" s="53"/>
    </row>
    <row r="29" spans="1:4">
      <c r="A29" s="1">
        <v>293</v>
      </c>
      <c r="B29" s="1" t="s">
        <v>58</v>
      </c>
      <c r="C29" s="47" t="s">
        <v>70</v>
      </c>
      <c r="D29" s="53"/>
    </row>
    <row r="30" spans="1:4">
      <c r="A30" s="1">
        <v>306</v>
      </c>
      <c r="B30" s="1" t="s">
        <v>58</v>
      </c>
      <c r="C30" s="47" t="s">
        <v>71</v>
      </c>
      <c r="D30" s="53"/>
    </row>
    <row r="31" spans="1:4">
      <c r="A31" s="1">
        <v>319</v>
      </c>
      <c r="B31" s="1" t="s">
        <v>58</v>
      </c>
      <c r="C31" s="47" t="s">
        <v>72</v>
      </c>
      <c r="D31" s="53"/>
    </row>
    <row r="32" spans="1:4">
      <c r="A32" s="1">
        <v>320</v>
      </c>
      <c r="B32" s="1" t="s">
        <v>58</v>
      </c>
      <c r="C32" s="47" t="s">
        <v>73</v>
      </c>
      <c r="D32" s="53"/>
    </row>
    <row r="33" spans="1:4">
      <c r="A33" s="1">
        <v>321</v>
      </c>
      <c r="B33" s="1" t="s">
        <v>58</v>
      </c>
      <c r="C33" s="47" t="s">
        <v>74</v>
      </c>
      <c r="D33" s="53"/>
    </row>
    <row r="34" spans="1:4">
      <c r="A34" s="1">
        <v>322</v>
      </c>
      <c r="B34" s="1" t="s">
        <v>58</v>
      </c>
      <c r="C34" s="47" t="s">
        <v>75</v>
      </c>
      <c r="D34" s="53"/>
    </row>
    <row r="35" spans="1:4">
      <c r="A35" s="1">
        <v>323</v>
      </c>
      <c r="B35" s="1" t="s">
        <v>58</v>
      </c>
      <c r="C35" s="47" t="s">
        <v>76</v>
      </c>
      <c r="D35" s="53"/>
    </row>
    <row r="36" spans="1:4">
      <c r="A36" s="1">
        <v>324</v>
      </c>
      <c r="B36" s="1" t="s">
        <v>58</v>
      </c>
      <c r="C36" s="47" t="s">
        <v>77</v>
      </c>
      <c r="D36" s="53"/>
    </row>
    <row r="37" spans="1:4">
      <c r="A37" s="1">
        <v>332</v>
      </c>
      <c r="B37" s="48" t="s">
        <v>58</v>
      </c>
      <c r="C37" s="1" t="s">
        <v>78</v>
      </c>
      <c r="D37" s="53"/>
    </row>
    <row r="38" spans="1:4">
      <c r="A38" s="1">
        <v>346</v>
      </c>
      <c r="B38" s="1" t="s">
        <v>58</v>
      </c>
      <c r="C38" s="47" t="s">
        <v>79</v>
      </c>
      <c r="D38" s="53"/>
    </row>
    <row r="39" spans="1:4">
      <c r="A39" s="1">
        <v>347</v>
      </c>
      <c r="B39" s="1" t="s">
        <v>58</v>
      </c>
      <c r="C39" s="47" t="s">
        <v>80</v>
      </c>
      <c r="D39" s="53"/>
    </row>
    <row r="40" spans="1:4">
      <c r="A40" s="1">
        <v>426</v>
      </c>
      <c r="B40" s="1" t="s">
        <v>58</v>
      </c>
      <c r="C40" s="47" t="s">
        <v>81</v>
      </c>
      <c r="D40" s="53"/>
    </row>
    <row r="41" spans="1:4">
      <c r="A41" s="1">
        <v>431</v>
      </c>
      <c r="B41" s="1" t="s">
        <v>58</v>
      </c>
      <c r="C41" s="47" t="s">
        <v>82</v>
      </c>
      <c r="D41" s="53"/>
    </row>
    <row r="42" spans="1:4">
      <c r="A42" s="1">
        <v>450</v>
      </c>
      <c r="B42" s="1" t="s">
        <v>58</v>
      </c>
      <c r="C42" s="47" t="s">
        <v>83</v>
      </c>
      <c r="D42" s="53"/>
    </row>
  </sheetData>
  <conditionalFormatting sqref="B2:B42">
    <cfRule type="cellIs" dxfId="11" priority="3" operator="equal">
      <formula>"CIE"</formula>
    </cfRule>
  </conditionalFormatting>
  <pageMargins left="0.7" right="0.7" top="0.75" bottom="0.75" header="0.511811023622047" footer="0.511811023622047"/>
  <pageSetup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2F3E023-B713-4DBD-8BA0-2733167B2CF9}">
            <xm:f>NOT(ISERROR(SEARCH("EPSIC",B2)))</xm:f>
            <xm:f>"EPSIC"</xm:f>
            <x14:dxf>
              <font>
                <color rgb="FF000000"/>
              </font>
              <fill>
                <patternFill>
                  <bgColor theme="9" tint="0.79989013336588644"/>
                </patternFill>
              </fill>
            </x14:dxf>
          </x14:cfRule>
          <xm:sqref>B2:B42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B5" sqref="B5"/>
    </sheetView>
  </sheetViews>
  <sheetFormatPr defaultColWidth="11" defaultRowHeight="15.75"/>
  <sheetData>
    <row r="1" spans="1:1">
      <c r="A1" t="s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activeCell="H16" sqref="H16"/>
    </sheetView>
  </sheetViews>
  <sheetFormatPr defaultColWidth="10.5" defaultRowHeight="15.75"/>
  <cols>
    <col min="1" max="2" width="13.375" style="1" customWidth="1"/>
    <col min="3" max="3" width="11.625" style="1" bestFit="1" customWidth="1"/>
    <col min="4" max="4" width="55.75" style="1" customWidth="1"/>
    <col min="5" max="5" width="20.25" style="1" customWidth="1"/>
    <col min="6" max="16384" width="10.5" style="1"/>
  </cols>
  <sheetData>
    <row r="1" spans="1:5">
      <c r="A1" s="49" t="s">
        <v>85</v>
      </c>
      <c r="B1" s="49" t="s">
        <v>86</v>
      </c>
      <c r="C1" s="49" t="s">
        <v>87</v>
      </c>
      <c r="D1" s="49" t="s">
        <v>88</v>
      </c>
      <c r="E1" s="49" t="s">
        <v>89</v>
      </c>
    </row>
    <row r="2" spans="1:5">
      <c r="A2" s="82"/>
      <c r="B2" s="82"/>
      <c r="C2" s="1" t="s">
        <v>90</v>
      </c>
      <c r="D2" s="1" t="s">
        <v>91</v>
      </c>
    </row>
    <row r="3" spans="1:5">
      <c r="A3" s="82"/>
      <c r="B3" s="82"/>
      <c r="C3" s="1" t="s">
        <v>92</v>
      </c>
      <c r="D3" s="1" t="s">
        <v>93</v>
      </c>
    </row>
    <row r="4" spans="1:5">
      <c r="A4" s="82"/>
      <c r="B4" s="82"/>
      <c r="C4" s="1" t="s">
        <v>94</v>
      </c>
      <c r="D4" s="1" t="s">
        <v>95</v>
      </c>
    </row>
    <row r="5" spans="1:5">
      <c r="A5" s="82"/>
      <c r="B5" s="82"/>
      <c r="C5" s="1" t="s">
        <v>96</v>
      </c>
      <c r="D5" s="1" t="s">
        <v>97</v>
      </c>
    </row>
    <row r="6" spans="1:5">
      <c r="A6" s="82"/>
      <c r="B6" s="82"/>
      <c r="C6" s="1" t="s">
        <v>98</v>
      </c>
      <c r="D6" s="1" t="s">
        <v>99</v>
      </c>
    </row>
    <row r="7" spans="1:5">
      <c r="A7" s="81"/>
      <c r="B7" s="81"/>
      <c r="C7" s="1" t="s">
        <v>100</v>
      </c>
      <c r="D7" s="1" t="s">
        <v>101</v>
      </c>
    </row>
    <row r="8" spans="1:5">
      <c r="A8" s="81"/>
      <c r="B8" s="81"/>
      <c r="C8" s="1" t="s">
        <v>102</v>
      </c>
      <c r="D8" s="1" t="s">
        <v>103</v>
      </c>
    </row>
    <row r="9" spans="1:5">
      <c r="A9" s="82"/>
      <c r="B9" s="82"/>
      <c r="C9" s="1" t="s">
        <v>104</v>
      </c>
      <c r="D9" s="1" t="s">
        <v>105</v>
      </c>
    </row>
    <row r="10" spans="1:5">
      <c r="A10" s="82"/>
      <c r="B10" s="82"/>
      <c r="C10" s="1" t="s">
        <v>106</v>
      </c>
      <c r="D10" s="1" t="s">
        <v>107</v>
      </c>
    </row>
    <row r="11" spans="1:5">
      <c r="A11" s="82"/>
      <c r="B11" s="82"/>
      <c r="C11" s="1" t="s">
        <v>108</v>
      </c>
      <c r="D11" s="1" t="s">
        <v>109</v>
      </c>
    </row>
    <row r="12" spans="1:5">
      <c r="A12" s="82"/>
      <c r="B12" s="82"/>
      <c r="C12" s="1" t="s">
        <v>110</v>
      </c>
      <c r="D12" s="1" t="s">
        <v>111</v>
      </c>
    </row>
    <row r="13" spans="1:5">
      <c r="A13" s="82"/>
      <c r="B13" s="82"/>
      <c r="C13" s="1" t="s">
        <v>112</v>
      </c>
      <c r="D13" s="1" t="s">
        <v>113</v>
      </c>
    </row>
    <row r="14" spans="1:5">
      <c r="A14" s="82"/>
      <c r="B14" s="82"/>
      <c r="C14" s="1" t="s">
        <v>114</v>
      </c>
      <c r="D14" s="1" t="s">
        <v>115</v>
      </c>
    </row>
    <row r="15" spans="1:5">
      <c r="A15" s="82"/>
      <c r="B15" s="82"/>
      <c r="C15" s="1" t="s">
        <v>116</v>
      </c>
      <c r="D15" s="1" t="s">
        <v>117</v>
      </c>
    </row>
    <row r="16" spans="1:5">
      <c r="A16" s="82"/>
      <c r="B16" s="82"/>
      <c r="C16" s="1" t="s">
        <v>118</v>
      </c>
      <c r="D16" s="1" t="s">
        <v>119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51"/>
  <sheetViews>
    <sheetView zoomScaleNormal="100" workbookViewId="0">
      <pane xSplit="2" ySplit="1" topLeftCell="C2" activePane="bottomRight" state="frozen"/>
      <selection pane="bottomRight" activeCell="AC26" sqref="AC26"/>
      <selection pane="bottomLeft"/>
      <selection pane="topRight"/>
    </sheetView>
  </sheetViews>
  <sheetFormatPr defaultColWidth="10.5" defaultRowHeight="15.75"/>
  <cols>
    <col min="1" max="1" width="7.75" style="52" customWidth="1"/>
    <col min="2" max="2" width="47.875" style="50" customWidth="1"/>
    <col min="3" max="20" width="4" style="51" customWidth="1"/>
    <col min="21" max="21" width="8.5" style="51" customWidth="1"/>
    <col min="22" max="25" width="4.125" style="51" customWidth="1"/>
    <col min="26" max="44" width="4.125" style="50" customWidth="1"/>
    <col min="45" max="45" width="8.5" style="51" customWidth="1"/>
    <col min="46" max="16384" width="10.5" style="50"/>
  </cols>
  <sheetData>
    <row r="1" spans="1:45" s="52" customFormat="1">
      <c r="A1" s="57" t="s">
        <v>120</v>
      </c>
      <c r="B1" s="58" t="s">
        <v>39</v>
      </c>
      <c r="C1" s="92" t="s">
        <v>121</v>
      </c>
      <c r="D1" s="93"/>
      <c r="E1" s="93"/>
      <c r="F1" s="93"/>
      <c r="G1" s="93"/>
      <c r="H1" s="93"/>
      <c r="I1" s="93"/>
      <c r="J1" s="93"/>
      <c r="K1" s="93"/>
      <c r="L1" s="93"/>
      <c r="M1" s="92" t="s">
        <v>122</v>
      </c>
      <c r="N1" s="93"/>
      <c r="O1" s="93"/>
      <c r="P1" s="93"/>
      <c r="Q1" s="93"/>
      <c r="R1" s="93"/>
      <c r="S1" s="93"/>
      <c r="T1" s="93"/>
      <c r="U1" s="59" t="s">
        <v>123</v>
      </c>
      <c r="V1" s="61" t="s">
        <v>124</v>
      </c>
      <c r="W1" s="60"/>
      <c r="X1" s="60"/>
      <c r="Y1" s="60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62"/>
      <c r="AS1" s="80" t="s">
        <v>123</v>
      </c>
    </row>
    <row r="2" spans="1:45" ht="15.6" customHeight="1">
      <c r="A2" s="94" t="s">
        <v>125</v>
      </c>
      <c r="B2" s="95" t="s">
        <v>126</v>
      </c>
      <c r="C2" s="54">
        <v>431</v>
      </c>
      <c r="D2" s="55">
        <v>306</v>
      </c>
      <c r="E2" s="55"/>
      <c r="F2" s="55"/>
      <c r="G2" s="55"/>
      <c r="H2" s="55"/>
      <c r="I2" s="55"/>
      <c r="J2" s="55"/>
      <c r="K2" s="55"/>
      <c r="L2" s="55"/>
      <c r="M2" s="54"/>
      <c r="N2" s="55"/>
      <c r="O2" s="55"/>
      <c r="P2" s="55"/>
      <c r="Q2" s="55"/>
      <c r="R2" s="55"/>
      <c r="S2" s="55"/>
      <c r="T2" s="55"/>
      <c r="U2" s="77"/>
      <c r="V2" s="88" t="s">
        <v>112</v>
      </c>
      <c r="W2" s="89" t="s">
        <v>114</v>
      </c>
      <c r="X2" s="89"/>
      <c r="Y2" s="89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1"/>
      <c r="AS2" s="85"/>
    </row>
    <row r="3" spans="1:45">
      <c r="A3" s="94"/>
      <c r="B3" s="95"/>
      <c r="C3" s="64">
        <f>IFERROR(VLOOKUP(C2,'Modules informatiques'!$A$2:$D$50,4,FALSE()), "")</f>
        <v>0</v>
      </c>
      <c r="D3" s="65">
        <f>IFERROR(VLOOKUP(D2,'Modules informatiques'!$A$2:$D$50,4,FALSE()), "")</f>
        <v>0</v>
      </c>
      <c r="E3" s="65" t="str">
        <f>IFERROR(VLOOKUP(E2,'Modules informatiques'!$A$2:$D$50,4,FALSE()), "")</f>
        <v/>
      </c>
      <c r="F3" s="65" t="str">
        <f>IFERROR(VLOOKUP(F2,'Modules informatiques'!$A$2:$D$50,4,FALSE()), "")</f>
        <v/>
      </c>
      <c r="G3" s="65" t="str">
        <f>IFERROR(VLOOKUP(G2,'Modules informatiques'!$A$2:$D$50,4,FALSE()), "")</f>
        <v/>
      </c>
      <c r="H3" s="65" t="str">
        <f>IFERROR(VLOOKUP(H2,'Modules informatiques'!$A$2:$D$50,4,FALSE()), "")</f>
        <v/>
      </c>
      <c r="I3" s="65" t="str">
        <f>IFERROR(VLOOKUP(I2,'Modules informatiques'!$A$2:$D$50,4,FALSE()), "")</f>
        <v/>
      </c>
      <c r="J3" s="65" t="str">
        <f>IFERROR(VLOOKUP(J2,'Modules informatiques'!$A$2:$D$50,4,FALSE()), "")</f>
        <v/>
      </c>
      <c r="K3" s="65" t="str">
        <f>IFERROR(VLOOKUP(K2,'Modules informatiques'!$A$2:$D$50,4,FALSE()), "")</f>
        <v/>
      </c>
      <c r="L3" s="65" t="str">
        <f>IFERROR(VLOOKUP(L2,'Modules informatiques'!$A$2:$D$50,4,FALSE()), "")</f>
        <v/>
      </c>
      <c r="M3" s="64" t="str">
        <f>IFERROR(VLOOKUP(M2,'Modules informatiques'!$A$2:$D$50,4,FALSE()), "")</f>
        <v/>
      </c>
      <c r="N3" s="65" t="str">
        <f>IFERROR(VLOOKUP(N2,'Modules informatiques'!$A$2:$D$50,4,FALSE()), "")</f>
        <v/>
      </c>
      <c r="O3" s="65" t="str">
        <f>IFERROR(VLOOKUP(O2,'Modules informatiques'!$A$2:$D$50,4,FALSE()), "")</f>
        <v/>
      </c>
      <c r="P3" s="65" t="str">
        <f>IFERROR(VLOOKUP(P2,'Modules informatiques'!$A$2:$D$50,4,FALSE()), "")</f>
        <v/>
      </c>
      <c r="Q3" s="65" t="str">
        <f>IFERROR(VLOOKUP(Q2,'Modules informatiques'!$A$2:$D$50,4,FALSE()), "")</f>
        <v/>
      </c>
      <c r="R3" s="65" t="str">
        <f>IFERROR(VLOOKUP(R2,'Modules informatiques'!$A$2:$D$50,4,FALSE()), "")</f>
        <v/>
      </c>
      <c r="S3" s="65" t="str">
        <f>IFERROR(VLOOKUP(S2,'Modules informatiques'!$A$2:$D$50,4,FALSE()), "")</f>
        <v/>
      </c>
      <c r="T3" s="65" t="str">
        <f>IFERROR(VLOOKUP(T2,'Modules informatiques'!$A$2:$D$50,4,FALSE()), "")</f>
        <v/>
      </c>
      <c r="U3" s="78">
        <f>IFERROR(AVERAGE(C3:T3), "")</f>
        <v>0</v>
      </c>
      <c r="V3" s="64">
        <f>IFERROR(VLOOKUP(V2,'Projets entreprise'!$C$2:$E$91,3,FALSE()), "")</f>
        <v>0</v>
      </c>
      <c r="W3" s="65">
        <f>IFERROR(VLOOKUP(W2,'Projets entreprise'!$C$2:$E$91,3,FALSE()), "")</f>
        <v>0</v>
      </c>
      <c r="X3" s="65" t="str">
        <f>IFERROR(VLOOKUP(X2,'Projets entreprise'!$C$2:$E$91,3,FALSE()), "")</f>
        <v/>
      </c>
      <c r="Y3" s="65" t="str">
        <f>IFERROR(VLOOKUP(Y2,'Projets entreprise'!$C$2:$E$91,3,FALSE()), "")</f>
        <v/>
      </c>
      <c r="Z3" s="65" t="str">
        <f>IFERROR(VLOOKUP(Z2,'Projets entreprise'!$C$2:$E$91,3,FALSE()), "")</f>
        <v/>
      </c>
      <c r="AA3" s="65" t="str">
        <f>IFERROR(VLOOKUP(AA2,'Projets entreprise'!$C$2:$E$91,3,FALSE()), "")</f>
        <v/>
      </c>
      <c r="AB3" s="65" t="str">
        <f>IFERROR(VLOOKUP(AB2,'Projets entreprise'!$C$2:$E$91,3,FALSE()), "")</f>
        <v/>
      </c>
      <c r="AC3" s="65" t="str">
        <f>IFERROR(VLOOKUP(AC2,'Projets entreprise'!$C$2:$E$91,3,FALSE()), "")</f>
        <v/>
      </c>
      <c r="AD3" s="65" t="str">
        <f>IFERROR(VLOOKUP(AD2,'Projets entreprise'!$C$2:$E$91,3,FALSE()), "")</f>
        <v/>
      </c>
      <c r="AE3" s="65" t="str">
        <f>IFERROR(VLOOKUP(AE2,'Projets entreprise'!$C$2:$E$91,3,FALSE()), "")</f>
        <v/>
      </c>
      <c r="AF3" s="65" t="str">
        <f>IFERROR(VLOOKUP(AF2,'Projets entreprise'!$C$2:$E$91,3,FALSE()), "")</f>
        <v/>
      </c>
      <c r="AG3" s="65" t="str">
        <f>IFERROR(VLOOKUP(AG2,'Projets entreprise'!$C$2:$E$91,3,FALSE()), "")</f>
        <v/>
      </c>
      <c r="AH3" s="65" t="str">
        <f>IFERROR(VLOOKUP(AH2,'Projets entreprise'!$C$2:$E$91,3,FALSE()), "")</f>
        <v/>
      </c>
      <c r="AI3" s="65" t="str">
        <f>IFERROR(VLOOKUP(AI2,'Projets entreprise'!$C$2:$E$91,3,FALSE()), "")</f>
        <v/>
      </c>
      <c r="AJ3" s="65" t="str">
        <f>IFERROR(VLOOKUP(AJ2,'Projets entreprise'!$C$2:$E$91,3,FALSE()), "")</f>
        <v/>
      </c>
      <c r="AK3" s="65" t="str">
        <f>IFERROR(VLOOKUP(AK2,'Projets entreprise'!$C$2:$E$91,3,FALSE()), "")</f>
        <v/>
      </c>
      <c r="AL3" s="65" t="str">
        <f>IFERROR(VLOOKUP(AL2,'Projets entreprise'!$C$2:$E$91,3,FALSE()), "")</f>
        <v/>
      </c>
      <c r="AM3" s="65" t="str">
        <f>IFERROR(VLOOKUP(AM2,'Projets entreprise'!$C$2:$E$91,3,FALSE()), "")</f>
        <v/>
      </c>
      <c r="AN3" s="65" t="str">
        <f>IFERROR(VLOOKUP(AN2,'Projets entreprise'!$C$2:$E$91,3,FALSE()), "")</f>
        <v/>
      </c>
      <c r="AO3" s="65" t="str">
        <f>IFERROR(VLOOKUP(AO2,'Projets entreprise'!$C$2:$E$91,3,FALSE()), "")</f>
        <v/>
      </c>
      <c r="AP3" s="65" t="str">
        <f>IFERROR(VLOOKUP(AP2,'Projets entreprise'!$C$2:$E$91,3,FALSE()), "")</f>
        <v/>
      </c>
      <c r="AQ3" s="65" t="str">
        <f>IFERROR(VLOOKUP(AQ2,'Projets entreprise'!$C$2:$E$91,3,FALSE()), "")</f>
        <v/>
      </c>
      <c r="AR3" s="66" t="str">
        <f>IFERROR(VLOOKUP(AR2,'Projets entreprise'!$C$2:$E$91,3,FALSE()), "")</f>
        <v/>
      </c>
      <c r="AS3" s="86">
        <f>IFERROR(AVERAGE(V3:AR3), "")</f>
        <v>0</v>
      </c>
    </row>
    <row r="4" spans="1:45" ht="15.6" customHeight="1">
      <c r="A4" s="96" t="s">
        <v>127</v>
      </c>
      <c r="B4" s="97" t="s">
        <v>128</v>
      </c>
      <c r="C4" s="70">
        <v>431</v>
      </c>
      <c r="D4" s="71">
        <v>306</v>
      </c>
      <c r="E4" s="71"/>
      <c r="F4" s="71"/>
      <c r="G4" s="71"/>
      <c r="H4" s="71"/>
      <c r="I4" s="71"/>
      <c r="J4" s="71"/>
      <c r="K4" s="71"/>
      <c r="L4" s="71"/>
      <c r="M4" s="70"/>
      <c r="N4" s="71"/>
      <c r="O4" s="71"/>
      <c r="P4" s="71"/>
      <c r="Q4" s="71"/>
      <c r="R4" s="71"/>
      <c r="S4" s="71"/>
      <c r="T4" s="71"/>
      <c r="U4" s="77"/>
      <c r="V4" s="72"/>
      <c r="W4" s="83"/>
      <c r="X4" s="83"/>
      <c r="Y4" s="83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73"/>
      <c r="AS4" s="85"/>
    </row>
    <row r="5" spans="1:45">
      <c r="A5" s="96"/>
      <c r="B5" s="97"/>
      <c r="C5" s="74">
        <f>IFERROR(VLOOKUP(C4,'Modules informatiques'!$A$2:$D$50,4,FALSE()), "")</f>
        <v>0</v>
      </c>
      <c r="D5" s="75">
        <f>IFERROR(VLOOKUP(D4,'Modules informatiques'!$A$2:$D$50,4,FALSE()), "")</f>
        <v>0</v>
      </c>
      <c r="E5" s="75" t="str">
        <f>IFERROR(VLOOKUP(E4,'Modules informatiques'!$A$2:$D$50,4,FALSE()), "")</f>
        <v/>
      </c>
      <c r="F5" s="75" t="str">
        <f>IFERROR(VLOOKUP(F4,'Modules informatiques'!$A$2:$D$50,4,FALSE()), "")</f>
        <v/>
      </c>
      <c r="G5" s="75" t="str">
        <f>IFERROR(VLOOKUP(G4,'Modules informatiques'!$A$2:$D$50,4,FALSE()), "")</f>
        <v/>
      </c>
      <c r="H5" s="75" t="str">
        <f>IFERROR(VLOOKUP(H4,'Modules informatiques'!$A$2:$D$50,4,FALSE()), "")</f>
        <v/>
      </c>
      <c r="I5" s="75" t="str">
        <f>IFERROR(VLOOKUP(I4,'Modules informatiques'!$A$2:$D$50,4,FALSE()), "")</f>
        <v/>
      </c>
      <c r="J5" s="75" t="str">
        <f>IFERROR(VLOOKUP(J4,'Modules informatiques'!$A$2:$D$50,4,FALSE()), "")</f>
        <v/>
      </c>
      <c r="K5" s="75" t="str">
        <f>IFERROR(VLOOKUP(K4,'Modules informatiques'!$A$2:$D$50,4,FALSE()), "")</f>
        <v/>
      </c>
      <c r="L5" s="75" t="str">
        <f>IFERROR(VLOOKUP(L4,'Modules informatiques'!$A$2:$D$50,4,FALSE()), "")</f>
        <v/>
      </c>
      <c r="M5" s="74" t="str">
        <f>IFERROR(VLOOKUP(M4,'Modules informatiques'!$A$2:$D$50,4,FALSE()), "")</f>
        <v/>
      </c>
      <c r="N5" s="75" t="str">
        <f>IFERROR(VLOOKUP(N4,'Modules informatiques'!$A$2:$D$50,4,FALSE()), "")</f>
        <v/>
      </c>
      <c r="O5" s="75" t="str">
        <f>IFERROR(VLOOKUP(O4,'Modules informatiques'!$A$2:$D$50,4,FALSE()), "")</f>
        <v/>
      </c>
      <c r="P5" s="75" t="str">
        <f>IFERROR(VLOOKUP(P4,'Modules informatiques'!$A$2:$D$50,4,FALSE()), "")</f>
        <v/>
      </c>
      <c r="Q5" s="75" t="str">
        <f>IFERROR(VLOOKUP(Q4,'Modules informatiques'!$A$2:$D$50,4,FALSE()), "")</f>
        <v/>
      </c>
      <c r="R5" s="75" t="str">
        <f>IFERROR(VLOOKUP(R4,'Modules informatiques'!$A$2:$D$50,4,FALSE()), "")</f>
        <v/>
      </c>
      <c r="S5" s="75" t="str">
        <f>IFERROR(VLOOKUP(S4,'Modules informatiques'!$A$2:$D$50,4,FALSE()), "")</f>
        <v/>
      </c>
      <c r="T5" s="75" t="str">
        <f>IFERROR(VLOOKUP(T4,'Modules informatiques'!$A$2:$D$50,4,FALSE()), "")</f>
        <v/>
      </c>
      <c r="U5" s="78">
        <f>IFERROR(AVERAGE(C5:T5), "")</f>
        <v>0</v>
      </c>
      <c r="V5" s="74" t="str">
        <f>IFERROR(VLOOKUP(V4,'Projets entreprise'!$C$2:$E$91,3,FALSE()), "")</f>
        <v/>
      </c>
      <c r="W5" s="75" t="str">
        <f>IFERROR(VLOOKUP(W4,'Projets entreprise'!$C$2:$E$91,3,FALSE()), "")</f>
        <v/>
      </c>
      <c r="X5" s="75" t="str">
        <f>IFERROR(VLOOKUP(X4,'Projets entreprise'!$C$2:$E$91,3,FALSE()), "")</f>
        <v/>
      </c>
      <c r="Y5" s="75" t="str">
        <f>IFERROR(VLOOKUP(Y4,'Projets entreprise'!$C$2:$E$91,3,FALSE()), "")</f>
        <v/>
      </c>
      <c r="Z5" s="75" t="str">
        <f>IFERROR(VLOOKUP(Z4,'Projets entreprise'!$C$2:$E$91,3,FALSE()), "")</f>
        <v/>
      </c>
      <c r="AA5" s="75" t="str">
        <f>IFERROR(VLOOKUP(AA4,'Projets entreprise'!$C$2:$E$91,3,FALSE()), "")</f>
        <v/>
      </c>
      <c r="AB5" s="75" t="str">
        <f>IFERROR(VLOOKUP(AB4,'Projets entreprise'!$C$2:$E$91,3,FALSE()), "")</f>
        <v/>
      </c>
      <c r="AC5" s="75" t="str">
        <f>IFERROR(VLOOKUP(AC4,'Projets entreprise'!$C$2:$E$91,3,FALSE()), "")</f>
        <v/>
      </c>
      <c r="AD5" s="75" t="str">
        <f>IFERROR(VLOOKUP(AD4,'Projets entreprise'!$C$2:$E$91,3,FALSE()), "")</f>
        <v/>
      </c>
      <c r="AE5" s="75" t="str">
        <f>IFERROR(VLOOKUP(AE4,'Projets entreprise'!$C$2:$E$91,3,FALSE()), "")</f>
        <v/>
      </c>
      <c r="AF5" s="75" t="str">
        <f>IFERROR(VLOOKUP(AF4,'Projets entreprise'!$C$2:$E$91,3,FALSE()), "")</f>
        <v/>
      </c>
      <c r="AG5" s="75" t="str">
        <f>IFERROR(VLOOKUP(AG4,'Projets entreprise'!$C$2:$E$91,3,FALSE()), "")</f>
        <v/>
      </c>
      <c r="AH5" s="75" t="str">
        <f>IFERROR(VLOOKUP(AH4,'Projets entreprise'!$C$2:$E$91,3,FALSE()), "")</f>
        <v/>
      </c>
      <c r="AI5" s="75" t="str">
        <f>IFERROR(VLOOKUP(AI4,'Projets entreprise'!$C$2:$E$91,3,FALSE()), "")</f>
        <v/>
      </c>
      <c r="AJ5" s="75" t="str">
        <f>IFERROR(VLOOKUP(AJ4,'Projets entreprise'!$C$2:$E$91,3,FALSE()), "")</f>
        <v/>
      </c>
      <c r="AK5" s="75" t="str">
        <f>IFERROR(VLOOKUP(AK4,'Projets entreprise'!$C$2:$E$91,3,FALSE()), "")</f>
        <v/>
      </c>
      <c r="AL5" s="75" t="str">
        <f>IFERROR(VLOOKUP(AL4,'Projets entreprise'!$C$2:$E$91,3,FALSE()), "")</f>
        <v/>
      </c>
      <c r="AM5" s="75" t="str">
        <f>IFERROR(VLOOKUP(AM4,'Projets entreprise'!$C$2:$E$91,3,FALSE()), "")</f>
        <v/>
      </c>
      <c r="AN5" s="75" t="str">
        <f>IFERROR(VLOOKUP(AN4,'Projets entreprise'!$C$2:$E$91,3,FALSE()), "")</f>
        <v/>
      </c>
      <c r="AO5" s="75" t="str">
        <f>IFERROR(VLOOKUP(AO4,'Projets entreprise'!$C$2:$E$91,3,FALSE()), "")</f>
        <v/>
      </c>
      <c r="AP5" s="75" t="str">
        <f>IFERROR(VLOOKUP(AP4,'Projets entreprise'!$C$2:$E$91,3,FALSE()), "")</f>
        <v/>
      </c>
      <c r="AQ5" s="75" t="str">
        <f>IFERROR(VLOOKUP(AQ4,'Projets entreprise'!$C$2:$E$91,3,FALSE()), "")</f>
        <v/>
      </c>
      <c r="AR5" s="76" t="str">
        <f>IFERROR(VLOOKUP(AR4,'Projets entreprise'!$C$2:$E$91,3,FALSE()), "")</f>
        <v/>
      </c>
      <c r="AS5" s="86" t="str">
        <f>IFERROR(AVERAGE(V5:AR5), "")</f>
        <v/>
      </c>
    </row>
    <row r="6" spans="1:45" ht="16.350000000000001" customHeight="1">
      <c r="A6" s="94" t="s">
        <v>129</v>
      </c>
      <c r="B6" s="95" t="s">
        <v>130</v>
      </c>
      <c r="C6" s="54">
        <v>241</v>
      </c>
      <c r="D6" s="55">
        <v>245</v>
      </c>
      <c r="E6" s="55"/>
      <c r="F6" s="55"/>
      <c r="G6" s="55"/>
      <c r="H6" s="55"/>
      <c r="I6" s="55"/>
      <c r="J6" s="55"/>
      <c r="K6" s="55"/>
      <c r="L6" s="55"/>
      <c r="M6" s="54">
        <v>248</v>
      </c>
      <c r="N6" s="55"/>
      <c r="O6" s="55"/>
      <c r="P6" s="55"/>
      <c r="Q6" s="55"/>
      <c r="R6" s="55"/>
      <c r="S6" s="55"/>
      <c r="T6" s="55"/>
      <c r="U6" s="77"/>
      <c r="V6" s="56" t="s">
        <v>92</v>
      </c>
      <c r="W6" s="51" t="s">
        <v>94</v>
      </c>
      <c r="X6" s="51" t="s">
        <v>96</v>
      </c>
      <c r="Y6" s="51" t="s">
        <v>100</v>
      </c>
      <c r="Z6" s="50" t="s">
        <v>118</v>
      </c>
      <c r="AR6" s="63"/>
      <c r="AS6" s="85"/>
    </row>
    <row r="7" spans="1:45">
      <c r="A7" s="94"/>
      <c r="B7" s="95"/>
      <c r="C7" s="64">
        <f>IFERROR(VLOOKUP(C6,'Modules informatiques'!$A$2:$D$50,4,FALSE()), "")</f>
        <v>0</v>
      </c>
      <c r="D7" s="65">
        <f>IFERROR(VLOOKUP(D6,'Modules informatiques'!$A$2:$D$50,4,FALSE()), "")</f>
        <v>0</v>
      </c>
      <c r="E7" s="65" t="str">
        <f>IFERROR(VLOOKUP(E6,'Modules informatiques'!$A$2:$D$50,4,FALSE()), "")</f>
        <v/>
      </c>
      <c r="F7" s="65" t="str">
        <f>IFERROR(VLOOKUP(F6,'Modules informatiques'!$A$2:$D$50,4,FALSE()), "")</f>
        <v/>
      </c>
      <c r="G7" s="65" t="str">
        <f>IFERROR(VLOOKUP(G6,'Modules informatiques'!$A$2:$D$50,4,FALSE()), "")</f>
        <v/>
      </c>
      <c r="H7" s="65" t="str">
        <f>IFERROR(VLOOKUP(H6,'Modules informatiques'!$A$2:$D$50,4,FALSE()), "")</f>
        <v/>
      </c>
      <c r="I7" s="65" t="str">
        <f>IFERROR(VLOOKUP(I6,'Modules informatiques'!$A$2:$D$50,4,FALSE()), "")</f>
        <v/>
      </c>
      <c r="J7" s="65" t="str">
        <f>IFERROR(VLOOKUP(J6,'Modules informatiques'!$A$2:$D$50,4,FALSE()), "")</f>
        <v/>
      </c>
      <c r="K7" s="65" t="str">
        <f>IFERROR(VLOOKUP(K6,'Modules informatiques'!$A$2:$D$50,4,FALSE()), "")</f>
        <v/>
      </c>
      <c r="L7" s="65" t="str">
        <f>IFERROR(VLOOKUP(L6,'Modules informatiques'!$A$2:$D$50,4,FALSE()), "")</f>
        <v/>
      </c>
      <c r="M7" s="64">
        <f>IFERROR(VLOOKUP(M6,'Modules informatiques'!$A$2:$D$50,4,FALSE()), "")</f>
        <v>0</v>
      </c>
      <c r="N7" s="65" t="str">
        <f>IFERROR(VLOOKUP(N6,'Modules informatiques'!$A$2:$D$50,4,FALSE()), "")</f>
        <v/>
      </c>
      <c r="O7" s="65" t="str">
        <f>IFERROR(VLOOKUP(O6,'Modules informatiques'!$A$2:$D$50,4,FALSE()), "")</f>
        <v/>
      </c>
      <c r="P7" s="65" t="str">
        <f>IFERROR(VLOOKUP(P6,'Modules informatiques'!$A$2:$D$50,4,FALSE()), "")</f>
        <v/>
      </c>
      <c r="Q7" s="65" t="str">
        <f>IFERROR(VLOOKUP(Q6,'Modules informatiques'!$A$2:$D$50,4,FALSE()), "")</f>
        <v/>
      </c>
      <c r="R7" s="65" t="str">
        <f>IFERROR(VLOOKUP(R6,'Modules informatiques'!$A$2:$D$50,4,FALSE()), "")</f>
        <v/>
      </c>
      <c r="S7" s="65" t="str">
        <f>IFERROR(VLOOKUP(S6,'Modules informatiques'!$A$2:$D$50,4,FALSE()), "")</f>
        <v/>
      </c>
      <c r="T7" s="65" t="str">
        <f>IFERROR(VLOOKUP(T6,'Modules informatiques'!$A$2:$D$50,4,FALSE()), "")</f>
        <v/>
      </c>
      <c r="U7" s="78">
        <f>IFERROR(AVERAGE(C7:T7), "")</f>
        <v>0</v>
      </c>
      <c r="V7" s="64">
        <f>IFERROR(VLOOKUP(V6,'Projets entreprise'!$C$2:$E$91,3,FALSE()), "")</f>
        <v>0</v>
      </c>
      <c r="W7" s="65">
        <f>IFERROR(VLOOKUP(W6,'Projets entreprise'!$C$2:$E$91,3,FALSE()), "")</f>
        <v>0</v>
      </c>
      <c r="X7" s="65">
        <f>IFERROR(VLOOKUP(X6,'Projets entreprise'!$C$2:$E$91,3,FALSE()), "")</f>
        <v>0</v>
      </c>
      <c r="Y7" s="65">
        <f>IFERROR(VLOOKUP(Y6,'Projets entreprise'!$C$2:$E$91,3,FALSE()), "")</f>
        <v>0</v>
      </c>
      <c r="Z7" s="65">
        <f>IFERROR(VLOOKUP(Z6,'Projets entreprise'!$C$2:$E$91,3,FALSE()), "")</f>
        <v>0</v>
      </c>
      <c r="AA7" s="65" t="str">
        <f>IFERROR(VLOOKUP(AA6,'Projets entreprise'!$C$2:$E$91,3,FALSE()), "")</f>
        <v/>
      </c>
      <c r="AB7" s="65" t="str">
        <f>IFERROR(VLOOKUP(AB6,'Projets entreprise'!$C$2:$E$91,3,FALSE()), "")</f>
        <v/>
      </c>
      <c r="AC7" s="65" t="str">
        <f>IFERROR(VLOOKUP(AC6,'Projets entreprise'!$C$2:$E$91,3,FALSE()), "")</f>
        <v/>
      </c>
      <c r="AD7" s="65" t="str">
        <f>IFERROR(VLOOKUP(AD6,'Projets entreprise'!$C$2:$E$91,3,FALSE()), "")</f>
        <v/>
      </c>
      <c r="AE7" s="65" t="str">
        <f>IFERROR(VLOOKUP(AE6,'Projets entreprise'!$C$2:$E$91,3,FALSE()), "")</f>
        <v/>
      </c>
      <c r="AF7" s="65" t="str">
        <f>IFERROR(VLOOKUP(AF6,'Projets entreprise'!$C$2:$E$91,3,FALSE()), "")</f>
        <v/>
      </c>
      <c r="AG7" s="65" t="str">
        <f>IFERROR(VLOOKUP(AG6,'Projets entreprise'!$C$2:$E$91,3,FALSE()), "")</f>
        <v/>
      </c>
      <c r="AH7" s="65" t="str">
        <f>IFERROR(VLOOKUP(AH6,'Projets entreprise'!$C$2:$E$91,3,FALSE()), "")</f>
        <v/>
      </c>
      <c r="AI7" s="65" t="str">
        <f>IFERROR(VLOOKUP(AI6,'Projets entreprise'!$C$2:$E$91,3,FALSE()), "")</f>
        <v/>
      </c>
      <c r="AJ7" s="65" t="str">
        <f>IFERROR(VLOOKUP(AJ6,'Projets entreprise'!$C$2:$E$91,3,FALSE()), "")</f>
        <v/>
      </c>
      <c r="AK7" s="65" t="str">
        <f>IFERROR(VLOOKUP(AK6,'Projets entreprise'!$C$2:$E$91,3,FALSE()), "")</f>
        <v/>
      </c>
      <c r="AL7" s="65" t="str">
        <f>IFERROR(VLOOKUP(AL6,'Projets entreprise'!$C$2:$E$91,3,FALSE()), "")</f>
        <v/>
      </c>
      <c r="AM7" s="65" t="str">
        <f>IFERROR(VLOOKUP(AM6,'Projets entreprise'!$C$2:$E$91,3,FALSE()), "")</f>
        <v/>
      </c>
      <c r="AN7" s="65" t="str">
        <f>IFERROR(VLOOKUP(AN6,'Projets entreprise'!$C$2:$E$91,3,FALSE()), "")</f>
        <v/>
      </c>
      <c r="AO7" s="65" t="str">
        <f>IFERROR(VLOOKUP(AO6,'Projets entreprise'!$C$2:$E$91,3,FALSE()), "")</f>
        <v/>
      </c>
      <c r="AP7" s="65" t="str">
        <f>IFERROR(VLOOKUP(AP6,'Projets entreprise'!$C$2:$E$91,3,FALSE()), "")</f>
        <v/>
      </c>
      <c r="AQ7" s="65" t="str">
        <f>IFERROR(VLOOKUP(AQ6,'Projets entreprise'!$C$2:$E$91,3,FALSE()), "")</f>
        <v/>
      </c>
      <c r="AR7" s="66" t="str">
        <f>IFERROR(VLOOKUP(AR6,'Projets entreprise'!$C$2:$E$91,3,FALSE()), "")</f>
        <v/>
      </c>
      <c r="AS7" s="86">
        <f>IFERROR(AVERAGE(V7:AR7), "")</f>
        <v>0</v>
      </c>
    </row>
    <row r="8" spans="1:45" ht="15.6" customHeight="1">
      <c r="A8" s="96" t="s">
        <v>131</v>
      </c>
      <c r="B8" s="97" t="s">
        <v>132</v>
      </c>
      <c r="C8" s="70">
        <v>431</v>
      </c>
      <c r="D8" s="71">
        <v>306</v>
      </c>
      <c r="E8" s="71"/>
      <c r="F8" s="71"/>
      <c r="G8" s="71"/>
      <c r="H8" s="71"/>
      <c r="I8" s="71"/>
      <c r="J8" s="71"/>
      <c r="K8" s="71"/>
      <c r="L8" s="71"/>
      <c r="M8" s="70"/>
      <c r="N8" s="71"/>
      <c r="O8" s="71"/>
      <c r="P8" s="71"/>
      <c r="Q8" s="71"/>
      <c r="R8" s="71"/>
      <c r="S8" s="71"/>
      <c r="T8" s="71"/>
      <c r="U8" s="77"/>
      <c r="V8" s="72" t="s">
        <v>98</v>
      </c>
      <c r="W8" s="83" t="s">
        <v>100</v>
      </c>
      <c r="X8" s="83" t="s">
        <v>96</v>
      </c>
      <c r="Y8" s="83" t="s">
        <v>104</v>
      </c>
      <c r="Z8" s="84" t="s">
        <v>106</v>
      </c>
      <c r="AA8" s="84" t="s">
        <v>110</v>
      </c>
      <c r="AB8" s="84" t="s">
        <v>112</v>
      </c>
      <c r="AC8" s="84" t="s">
        <v>114</v>
      </c>
      <c r="AD8" s="84" t="s">
        <v>118</v>
      </c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73"/>
      <c r="AS8" s="85"/>
    </row>
    <row r="9" spans="1:45">
      <c r="A9" s="96"/>
      <c r="B9" s="97"/>
      <c r="C9" s="74">
        <f>IFERROR(VLOOKUP(C8,'Modules informatiques'!$A$2:$D$50,4,FALSE()), "")</f>
        <v>0</v>
      </c>
      <c r="D9" s="75">
        <f>IFERROR(VLOOKUP(D8,'Modules informatiques'!$A$2:$D$50,4,FALSE()), "")</f>
        <v>0</v>
      </c>
      <c r="E9" s="75" t="str">
        <f>IFERROR(VLOOKUP(E8,'Modules informatiques'!$A$2:$D$50,4,FALSE()), "")</f>
        <v/>
      </c>
      <c r="F9" s="75" t="str">
        <f>IFERROR(VLOOKUP(F8,'Modules informatiques'!$A$2:$D$50,4,FALSE()), "")</f>
        <v/>
      </c>
      <c r="G9" s="75" t="str">
        <f>IFERROR(VLOOKUP(G8,'Modules informatiques'!$A$2:$D$50,4,FALSE()), "")</f>
        <v/>
      </c>
      <c r="H9" s="75" t="str">
        <f>IFERROR(VLOOKUP(H8,'Modules informatiques'!$A$2:$D$50,4,FALSE()), "")</f>
        <v/>
      </c>
      <c r="I9" s="75" t="str">
        <f>IFERROR(VLOOKUP(I8,'Modules informatiques'!$A$2:$D$50,4,FALSE()), "")</f>
        <v/>
      </c>
      <c r="J9" s="75" t="str">
        <f>IFERROR(VLOOKUP(J8,'Modules informatiques'!$A$2:$D$50,4,FALSE()), "")</f>
        <v/>
      </c>
      <c r="K9" s="75" t="str">
        <f>IFERROR(VLOOKUP(K8,'Modules informatiques'!$A$2:$D$50,4,FALSE()), "")</f>
        <v/>
      </c>
      <c r="L9" s="75" t="str">
        <f>IFERROR(VLOOKUP(L8,'Modules informatiques'!$A$2:$D$50,4,FALSE()), "")</f>
        <v/>
      </c>
      <c r="M9" s="74" t="str">
        <f>IFERROR(VLOOKUP(M8,'Modules informatiques'!$A$2:$D$50,4,FALSE()), "")</f>
        <v/>
      </c>
      <c r="N9" s="75" t="str">
        <f>IFERROR(VLOOKUP(N8,'Modules informatiques'!$A$2:$D$50,4,FALSE()), "")</f>
        <v/>
      </c>
      <c r="O9" s="75" t="str">
        <f>IFERROR(VLOOKUP(O8,'Modules informatiques'!$A$2:$D$50,4,FALSE()), "")</f>
        <v/>
      </c>
      <c r="P9" s="75" t="str">
        <f>IFERROR(VLOOKUP(P8,'Modules informatiques'!$A$2:$D$50,4,FALSE()), "")</f>
        <v/>
      </c>
      <c r="Q9" s="75" t="str">
        <f>IFERROR(VLOOKUP(Q8,'Modules informatiques'!$A$2:$D$50,4,FALSE()), "")</f>
        <v/>
      </c>
      <c r="R9" s="75" t="str">
        <f>IFERROR(VLOOKUP(R8,'Modules informatiques'!$A$2:$D$50,4,FALSE()), "")</f>
        <v/>
      </c>
      <c r="S9" s="75" t="str">
        <f>IFERROR(VLOOKUP(S8,'Modules informatiques'!$A$2:$D$50,4,FALSE()), "")</f>
        <v/>
      </c>
      <c r="T9" s="75" t="str">
        <f>IFERROR(VLOOKUP(T8,'Modules informatiques'!$A$2:$D$50,4,FALSE()), "")</f>
        <v/>
      </c>
      <c r="U9" s="78">
        <f>IFERROR(AVERAGE(C9:T9), "")</f>
        <v>0</v>
      </c>
      <c r="V9" s="74">
        <f>IFERROR(VLOOKUP(V8,'Projets entreprise'!$C$2:$E$91,3,FALSE()), "")</f>
        <v>0</v>
      </c>
      <c r="W9" s="75">
        <f>IFERROR(VLOOKUP(W8,'Projets entreprise'!$C$2:$E$91,3,FALSE()), "")</f>
        <v>0</v>
      </c>
      <c r="X9" s="75">
        <f>IFERROR(VLOOKUP(X8,'Projets entreprise'!$C$2:$E$91,3,FALSE()), "")</f>
        <v>0</v>
      </c>
      <c r="Y9" s="75">
        <f>IFERROR(VLOOKUP(Y8,'Projets entreprise'!$C$2:$E$91,3,FALSE()), "")</f>
        <v>0</v>
      </c>
      <c r="Z9" s="75">
        <f>IFERROR(VLOOKUP(Z8,'Projets entreprise'!$C$2:$E$91,3,FALSE()), "")</f>
        <v>0</v>
      </c>
      <c r="AA9" s="75">
        <f>IFERROR(VLOOKUP(AA8,'Projets entreprise'!$C$2:$E$91,3,FALSE()), "")</f>
        <v>0</v>
      </c>
      <c r="AB9" s="75">
        <f>IFERROR(VLOOKUP(AB8,'Projets entreprise'!$C$2:$E$91,3,FALSE()), "")</f>
        <v>0</v>
      </c>
      <c r="AC9" s="75">
        <f>IFERROR(VLOOKUP(AC8,'Projets entreprise'!$C$2:$E$91,3,FALSE()), "")</f>
        <v>0</v>
      </c>
      <c r="AD9" s="75">
        <f>IFERROR(VLOOKUP(AD8,'Projets entreprise'!$C$2:$E$91,3,FALSE()), "")</f>
        <v>0</v>
      </c>
      <c r="AE9" s="75" t="str">
        <f>IFERROR(VLOOKUP(AE8,'Projets entreprise'!$C$2:$E$91,3,FALSE()), "")</f>
        <v/>
      </c>
      <c r="AF9" s="75" t="str">
        <f>IFERROR(VLOOKUP(AF8,'Projets entreprise'!$C$2:$E$91,3,FALSE()), "")</f>
        <v/>
      </c>
      <c r="AG9" s="75" t="str">
        <f>IFERROR(VLOOKUP(AG8,'Projets entreprise'!$C$2:$E$91,3,FALSE()), "")</f>
        <v/>
      </c>
      <c r="AH9" s="75" t="str">
        <f>IFERROR(VLOOKUP(AH8,'Projets entreprise'!$C$2:$E$91,3,FALSE()), "")</f>
        <v/>
      </c>
      <c r="AI9" s="75" t="str">
        <f>IFERROR(VLOOKUP(AI8,'Projets entreprise'!$C$2:$E$91,3,FALSE()), "")</f>
        <v/>
      </c>
      <c r="AJ9" s="75" t="str">
        <f>IFERROR(VLOOKUP(AJ8,'Projets entreprise'!$C$2:$E$91,3,FALSE()), "")</f>
        <v/>
      </c>
      <c r="AK9" s="75" t="str">
        <f>IFERROR(VLOOKUP(AK8,'Projets entreprise'!$C$2:$E$91,3,FALSE()), "")</f>
        <v/>
      </c>
      <c r="AL9" s="75" t="str">
        <f>IFERROR(VLOOKUP(AL8,'Projets entreprise'!$C$2:$E$91,3,FALSE()), "")</f>
        <v/>
      </c>
      <c r="AM9" s="75" t="str">
        <f>IFERROR(VLOOKUP(AM8,'Projets entreprise'!$C$2:$E$91,3,FALSE()), "")</f>
        <v/>
      </c>
      <c r="AN9" s="75" t="str">
        <f>IFERROR(VLOOKUP(AN8,'Projets entreprise'!$C$2:$E$91,3,FALSE()), "")</f>
        <v/>
      </c>
      <c r="AO9" s="75" t="str">
        <f>IFERROR(VLOOKUP(AO8,'Projets entreprise'!$C$2:$E$91,3,FALSE()), "")</f>
        <v/>
      </c>
      <c r="AP9" s="75" t="str">
        <f>IFERROR(VLOOKUP(AP8,'Projets entreprise'!$C$2:$E$91,3,FALSE()), "")</f>
        <v/>
      </c>
      <c r="AQ9" s="75" t="str">
        <f>IFERROR(VLOOKUP(AQ8,'Projets entreprise'!$C$2:$E$91,3,FALSE()), "")</f>
        <v/>
      </c>
      <c r="AR9" s="76" t="str">
        <f>IFERROR(VLOOKUP(AR8,'Projets entreprise'!$C$2:$E$91,3,FALSE()), "")</f>
        <v/>
      </c>
      <c r="AS9" s="86">
        <f>IFERROR(AVERAGE(V9:AR9), "")</f>
        <v>0</v>
      </c>
    </row>
    <row r="10" spans="1:45" ht="15.6" customHeight="1">
      <c r="A10" s="94" t="s">
        <v>133</v>
      </c>
      <c r="B10" s="95" t="s">
        <v>134</v>
      </c>
      <c r="C10" s="54">
        <v>431</v>
      </c>
      <c r="D10" s="55">
        <v>306</v>
      </c>
      <c r="E10" s="55"/>
      <c r="F10" s="55"/>
      <c r="G10" s="55"/>
      <c r="H10" s="55"/>
      <c r="I10" s="55"/>
      <c r="J10" s="55"/>
      <c r="K10" s="55"/>
      <c r="L10" s="55"/>
      <c r="M10" s="54"/>
      <c r="N10" s="55"/>
      <c r="O10" s="55"/>
      <c r="P10" s="55"/>
      <c r="Q10" s="55"/>
      <c r="R10" s="55"/>
      <c r="S10" s="55"/>
      <c r="T10" s="55"/>
      <c r="U10" s="77"/>
      <c r="V10" s="56" t="s">
        <v>100</v>
      </c>
      <c r="W10" s="51" t="s">
        <v>112</v>
      </c>
      <c r="X10" s="51" t="s">
        <v>118</v>
      </c>
      <c r="AR10" s="63"/>
      <c r="AS10" s="85"/>
    </row>
    <row r="11" spans="1:45">
      <c r="A11" s="94"/>
      <c r="B11" s="95"/>
      <c r="C11" s="64">
        <f>IFERROR(VLOOKUP(C10,'Modules informatiques'!$A$2:$D$50,4,FALSE()), "")</f>
        <v>0</v>
      </c>
      <c r="D11" s="65">
        <f>IFERROR(VLOOKUP(D10,'Modules informatiques'!$A$2:$D$50,4,FALSE()), "")</f>
        <v>0</v>
      </c>
      <c r="E11" s="65" t="str">
        <f>IFERROR(VLOOKUP(E10,'Modules informatiques'!$A$2:$D$50,4,FALSE()), "")</f>
        <v/>
      </c>
      <c r="F11" s="65" t="str">
        <f>IFERROR(VLOOKUP(F10,'Modules informatiques'!$A$2:$D$50,4,FALSE()), "")</f>
        <v/>
      </c>
      <c r="G11" s="65" t="str">
        <f>IFERROR(VLOOKUP(G10,'Modules informatiques'!$A$2:$D$50,4,FALSE()), "")</f>
        <v/>
      </c>
      <c r="H11" s="65" t="str">
        <f>IFERROR(VLOOKUP(H10,'Modules informatiques'!$A$2:$D$50,4,FALSE()), "")</f>
        <v/>
      </c>
      <c r="I11" s="65" t="str">
        <f>IFERROR(VLOOKUP(I10,'Modules informatiques'!$A$2:$D$50,4,FALSE()), "")</f>
        <v/>
      </c>
      <c r="J11" s="65" t="str">
        <f>IFERROR(VLOOKUP(J10,'Modules informatiques'!$A$2:$D$50,4,FALSE()), "")</f>
        <v/>
      </c>
      <c r="K11" s="65" t="str">
        <f>IFERROR(VLOOKUP(K10,'Modules informatiques'!$A$2:$D$50,4,FALSE()), "")</f>
        <v/>
      </c>
      <c r="L11" s="65" t="str">
        <f>IFERROR(VLOOKUP(L10,'Modules informatiques'!$A$2:$D$50,4,FALSE()), "")</f>
        <v/>
      </c>
      <c r="M11" s="64" t="str">
        <f>IFERROR(VLOOKUP(M10,'Modules informatiques'!$A$2:$D$50,4,FALSE()), "")</f>
        <v/>
      </c>
      <c r="N11" s="65" t="str">
        <f>IFERROR(VLOOKUP(N10,'Modules informatiques'!$A$2:$D$50,4,FALSE()), "")</f>
        <v/>
      </c>
      <c r="O11" s="65" t="str">
        <f>IFERROR(VLOOKUP(O10,'Modules informatiques'!$A$2:$D$50,4,FALSE()), "")</f>
        <v/>
      </c>
      <c r="P11" s="65" t="str">
        <f>IFERROR(VLOOKUP(P10,'Modules informatiques'!$A$2:$D$50,4,FALSE()), "")</f>
        <v/>
      </c>
      <c r="Q11" s="65" t="str">
        <f>IFERROR(VLOOKUP(Q10,'Modules informatiques'!$A$2:$D$50,4,FALSE()), "")</f>
        <v/>
      </c>
      <c r="R11" s="65" t="str">
        <f>IFERROR(VLOOKUP(R10,'Modules informatiques'!$A$2:$D$50,4,FALSE()), "")</f>
        <v/>
      </c>
      <c r="S11" s="65" t="str">
        <f>IFERROR(VLOOKUP(S10,'Modules informatiques'!$A$2:$D$50,4,FALSE()), "")</f>
        <v/>
      </c>
      <c r="T11" s="65" t="str">
        <f>IFERROR(VLOOKUP(T10,'Modules informatiques'!$A$2:$D$50,4,FALSE()), "")</f>
        <v/>
      </c>
      <c r="U11" s="78">
        <f>IFERROR(AVERAGE(C11:T11), "")</f>
        <v>0</v>
      </c>
      <c r="V11" s="64">
        <f>IFERROR(VLOOKUP(V10,'Projets entreprise'!$C$2:$E$91,3,FALSE()), "")</f>
        <v>0</v>
      </c>
      <c r="W11" s="65">
        <f>IFERROR(VLOOKUP(W10,'Projets entreprise'!$C$2:$E$91,3,FALSE()), "")</f>
        <v>0</v>
      </c>
      <c r="X11" s="65">
        <f>IFERROR(VLOOKUP(X10,'Projets entreprise'!$C$2:$E$91,3,FALSE()), "")</f>
        <v>0</v>
      </c>
      <c r="Y11" s="65" t="str">
        <f>IFERROR(VLOOKUP(Y10,'Projets entreprise'!$C$2:$E$91,3,FALSE()), "")</f>
        <v/>
      </c>
      <c r="Z11" s="65" t="str">
        <f>IFERROR(VLOOKUP(Z10,'Projets entreprise'!$C$2:$E$91,3,FALSE()), "")</f>
        <v/>
      </c>
      <c r="AA11" s="65" t="str">
        <f>IFERROR(VLOOKUP(AA10,'Projets entreprise'!$C$2:$E$91,3,FALSE()), "")</f>
        <v/>
      </c>
      <c r="AB11" s="65" t="str">
        <f>IFERROR(VLOOKUP(AB10,'Projets entreprise'!$C$2:$E$91,3,FALSE()), "")</f>
        <v/>
      </c>
      <c r="AC11" s="65" t="str">
        <f>IFERROR(VLOOKUP(AC10,'Projets entreprise'!$C$2:$E$91,3,FALSE()), "")</f>
        <v/>
      </c>
      <c r="AD11" s="65" t="str">
        <f>IFERROR(VLOOKUP(AD10,'Projets entreprise'!$C$2:$E$91,3,FALSE()), "")</f>
        <v/>
      </c>
      <c r="AE11" s="65" t="str">
        <f>IFERROR(VLOOKUP(AE10,'Projets entreprise'!$C$2:$E$91,3,FALSE()), "")</f>
        <v/>
      </c>
      <c r="AF11" s="65" t="str">
        <f>IFERROR(VLOOKUP(AF10,'Projets entreprise'!$C$2:$E$91,3,FALSE()), "")</f>
        <v/>
      </c>
      <c r="AG11" s="65" t="str">
        <f>IFERROR(VLOOKUP(AG10,'Projets entreprise'!$C$2:$E$91,3,FALSE()), "")</f>
        <v/>
      </c>
      <c r="AH11" s="65" t="str">
        <f>IFERROR(VLOOKUP(AH10,'Projets entreprise'!$C$2:$E$91,3,FALSE()), "")</f>
        <v/>
      </c>
      <c r="AI11" s="65" t="str">
        <f>IFERROR(VLOOKUP(AI10,'Projets entreprise'!$C$2:$E$91,3,FALSE()), "")</f>
        <v/>
      </c>
      <c r="AJ11" s="65" t="str">
        <f>IFERROR(VLOOKUP(AJ10,'Projets entreprise'!$C$2:$E$91,3,FALSE()), "")</f>
        <v/>
      </c>
      <c r="AK11" s="65" t="str">
        <f>IFERROR(VLOOKUP(AK10,'Projets entreprise'!$C$2:$E$91,3,FALSE()), "")</f>
        <v/>
      </c>
      <c r="AL11" s="65" t="str">
        <f>IFERROR(VLOOKUP(AL10,'Projets entreprise'!$C$2:$E$91,3,FALSE()), "")</f>
        <v/>
      </c>
      <c r="AM11" s="65" t="str">
        <f>IFERROR(VLOOKUP(AM10,'Projets entreprise'!$C$2:$E$91,3,FALSE()), "")</f>
        <v/>
      </c>
      <c r="AN11" s="65" t="str">
        <f>IFERROR(VLOOKUP(AN10,'Projets entreprise'!$C$2:$E$91,3,FALSE()), "")</f>
        <v/>
      </c>
      <c r="AO11" s="65" t="str">
        <f>IFERROR(VLOOKUP(AO10,'Projets entreprise'!$C$2:$E$91,3,FALSE()), "")</f>
        <v/>
      </c>
      <c r="AP11" s="65" t="str">
        <f>IFERROR(VLOOKUP(AP10,'Projets entreprise'!$C$2:$E$91,3,FALSE()), "")</f>
        <v/>
      </c>
      <c r="AQ11" s="65" t="str">
        <f>IFERROR(VLOOKUP(AQ10,'Projets entreprise'!$C$2:$E$91,3,FALSE()), "")</f>
        <v/>
      </c>
      <c r="AR11" s="66" t="str">
        <f>IFERROR(VLOOKUP(AR10,'Projets entreprise'!$C$2:$E$91,3,FALSE()), "")</f>
        <v/>
      </c>
      <c r="AS11" s="86">
        <f>IFERROR(AVERAGE(V11:AR11), "")</f>
        <v>0</v>
      </c>
    </row>
    <row r="12" spans="1:45" ht="15.6" customHeight="1">
      <c r="A12" s="96" t="s">
        <v>135</v>
      </c>
      <c r="B12" s="97" t="s">
        <v>136</v>
      </c>
      <c r="C12" s="70">
        <v>431</v>
      </c>
      <c r="D12" s="71">
        <v>306</v>
      </c>
      <c r="E12" s="71"/>
      <c r="F12" s="71"/>
      <c r="G12" s="71"/>
      <c r="H12" s="71"/>
      <c r="I12" s="71"/>
      <c r="J12" s="71"/>
      <c r="K12" s="71"/>
      <c r="L12" s="71"/>
      <c r="M12" s="70"/>
      <c r="N12" s="71"/>
      <c r="O12" s="71"/>
      <c r="P12" s="71"/>
      <c r="Q12" s="71"/>
      <c r="R12" s="71"/>
      <c r="S12" s="71"/>
      <c r="T12" s="71"/>
      <c r="U12" s="77"/>
      <c r="V12" s="72" t="s">
        <v>92</v>
      </c>
      <c r="W12" s="83" t="s">
        <v>94</v>
      </c>
      <c r="X12" s="83" t="s">
        <v>96</v>
      </c>
      <c r="Y12" s="83" t="s">
        <v>98</v>
      </c>
      <c r="Z12" s="84" t="s">
        <v>104</v>
      </c>
      <c r="AA12" s="84" t="s">
        <v>106</v>
      </c>
      <c r="AB12" s="84" t="s">
        <v>112</v>
      </c>
      <c r="AC12" s="84" t="s">
        <v>114</v>
      </c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73"/>
      <c r="AS12" s="85"/>
    </row>
    <row r="13" spans="1:45">
      <c r="A13" s="96"/>
      <c r="B13" s="97"/>
      <c r="C13" s="74">
        <f>IFERROR(VLOOKUP(C12,'Modules informatiques'!$A$2:$D$50,4,FALSE()), "")</f>
        <v>0</v>
      </c>
      <c r="D13" s="75">
        <f>IFERROR(VLOOKUP(D12,'Modules informatiques'!$A$2:$D$50,4,FALSE()), "")</f>
        <v>0</v>
      </c>
      <c r="E13" s="75" t="str">
        <f>IFERROR(VLOOKUP(E12,'Modules informatiques'!$A$2:$D$50,4,FALSE()), "")</f>
        <v/>
      </c>
      <c r="F13" s="75" t="str">
        <f>IFERROR(VLOOKUP(F12,'Modules informatiques'!$A$2:$D$50,4,FALSE()), "")</f>
        <v/>
      </c>
      <c r="G13" s="75" t="str">
        <f>IFERROR(VLOOKUP(G12,'Modules informatiques'!$A$2:$D$50,4,FALSE()), "")</f>
        <v/>
      </c>
      <c r="H13" s="75" t="str">
        <f>IFERROR(VLOOKUP(H12,'Modules informatiques'!$A$2:$D$50,4,FALSE()), "")</f>
        <v/>
      </c>
      <c r="I13" s="75" t="str">
        <f>IFERROR(VLOOKUP(I12,'Modules informatiques'!$A$2:$D$50,4,FALSE()), "")</f>
        <v/>
      </c>
      <c r="J13" s="75" t="str">
        <f>IFERROR(VLOOKUP(J12,'Modules informatiques'!$A$2:$D$50,4,FALSE()), "")</f>
        <v/>
      </c>
      <c r="K13" s="75" t="str">
        <f>IFERROR(VLOOKUP(K12,'Modules informatiques'!$A$2:$D$50,4,FALSE()), "")</f>
        <v/>
      </c>
      <c r="L13" s="75" t="str">
        <f>IFERROR(VLOOKUP(L12,'Modules informatiques'!$A$2:$D$50,4,FALSE()), "")</f>
        <v/>
      </c>
      <c r="M13" s="74" t="str">
        <f>IFERROR(VLOOKUP(M12,'Modules informatiques'!$A$2:$D$50,4,FALSE()), "")</f>
        <v/>
      </c>
      <c r="N13" s="75" t="str">
        <f>IFERROR(VLOOKUP(N12,'Modules informatiques'!$A$2:$D$50,4,FALSE()), "")</f>
        <v/>
      </c>
      <c r="O13" s="75" t="str">
        <f>IFERROR(VLOOKUP(O12,'Modules informatiques'!$A$2:$D$50,4,FALSE()), "")</f>
        <v/>
      </c>
      <c r="P13" s="75" t="str">
        <f>IFERROR(VLOOKUP(P12,'Modules informatiques'!$A$2:$D$50,4,FALSE()), "")</f>
        <v/>
      </c>
      <c r="Q13" s="75" t="str">
        <f>IFERROR(VLOOKUP(Q12,'Modules informatiques'!$A$2:$D$50,4,FALSE()), "")</f>
        <v/>
      </c>
      <c r="R13" s="75" t="str">
        <f>IFERROR(VLOOKUP(R12,'Modules informatiques'!$A$2:$D$50,4,FALSE()), "")</f>
        <v/>
      </c>
      <c r="S13" s="75" t="str">
        <f>IFERROR(VLOOKUP(S12,'Modules informatiques'!$A$2:$D$50,4,FALSE()), "")</f>
        <v/>
      </c>
      <c r="T13" s="75" t="str">
        <f>IFERROR(VLOOKUP(T12,'Modules informatiques'!$A$2:$D$50,4,FALSE()), "")</f>
        <v/>
      </c>
      <c r="U13" s="78">
        <f>IFERROR(AVERAGE(C13:T13), "")</f>
        <v>0</v>
      </c>
      <c r="V13" s="74">
        <f>IFERROR(VLOOKUP(V12,'Projets entreprise'!$C$2:$E$91,3,FALSE()), "")</f>
        <v>0</v>
      </c>
      <c r="W13" s="75">
        <f>IFERROR(VLOOKUP(W12,'Projets entreprise'!$C$2:$E$91,3,FALSE()), "")</f>
        <v>0</v>
      </c>
      <c r="X13" s="75">
        <f>IFERROR(VLOOKUP(X12,'Projets entreprise'!$C$2:$E$91,3,FALSE()), "")</f>
        <v>0</v>
      </c>
      <c r="Y13" s="75">
        <f>IFERROR(VLOOKUP(Y12,'Projets entreprise'!$C$2:$E$91,3,FALSE()), "")</f>
        <v>0</v>
      </c>
      <c r="Z13" s="75">
        <f>IFERROR(VLOOKUP(Z12,'Projets entreprise'!$C$2:$E$91,3,FALSE()), "")</f>
        <v>0</v>
      </c>
      <c r="AA13" s="75">
        <f>IFERROR(VLOOKUP(AA12,'Projets entreprise'!$C$2:$E$91,3,FALSE()), "")</f>
        <v>0</v>
      </c>
      <c r="AB13" s="75">
        <f>IFERROR(VLOOKUP(AB12,'Projets entreprise'!$C$2:$E$91,3,FALSE()), "")</f>
        <v>0</v>
      </c>
      <c r="AC13" s="75">
        <f>IFERROR(VLOOKUP(AC12,'Projets entreprise'!$C$2:$E$91,3,FALSE()), "")</f>
        <v>0</v>
      </c>
      <c r="AD13" s="75" t="str">
        <f>IFERROR(VLOOKUP(AD12,'Projets entreprise'!$C$2:$E$91,3,FALSE()), "")</f>
        <v/>
      </c>
      <c r="AE13" s="75" t="str">
        <f>IFERROR(VLOOKUP(AE12,'Projets entreprise'!$C$2:$E$91,3,FALSE()), "")</f>
        <v/>
      </c>
      <c r="AF13" s="75" t="str">
        <f>IFERROR(VLOOKUP(AF12,'Projets entreprise'!$C$2:$E$91,3,FALSE()), "")</f>
        <v/>
      </c>
      <c r="AG13" s="75" t="str">
        <f>IFERROR(VLOOKUP(AG12,'Projets entreprise'!$C$2:$E$91,3,FALSE()), "")</f>
        <v/>
      </c>
      <c r="AH13" s="75" t="str">
        <f>IFERROR(VLOOKUP(AH12,'Projets entreprise'!$C$2:$E$91,3,FALSE()), "")</f>
        <v/>
      </c>
      <c r="AI13" s="75" t="str">
        <f>IFERROR(VLOOKUP(AI12,'Projets entreprise'!$C$2:$E$91,3,FALSE()), "")</f>
        <v/>
      </c>
      <c r="AJ13" s="75" t="str">
        <f>IFERROR(VLOOKUP(AJ12,'Projets entreprise'!$C$2:$E$91,3,FALSE()), "")</f>
        <v/>
      </c>
      <c r="AK13" s="75" t="str">
        <f>IFERROR(VLOOKUP(AK12,'Projets entreprise'!$C$2:$E$91,3,FALSE()), "")</f>
        <v/>
      </c>
      <c r="AL13" s="75" t="str">
        <f>IFERROR(VLOOKUP(AL12,'Projets entreprise'!$C$2:$E$91,3,FALSE()), "")</f>
        <v/>
      </c>
      <c r="AM13" s="75" t="str">
        <f>IFERROR(VLOOKUP(AM12,'Projets entreprise'!$C$2:$E$91,3,FALSE()), "")</f>
        <v/>
      </c>
      <c r="AN13" s="75" t="str">
        <f>IFERROR(VLOOKUP(AN12,'Projets entreprise'!$C$2:$E$91,3,FALSE()), "")</f>
        <v/>
      </c>
      <c r="AO13" s="75" t="str">
        <f>IFERROR(VLOOKUP(AO12,'Projets entreprise'!$C$2:$E$91,3,FALSE()), "")</f>
        <v/>
      </c>
      <c r="AP13" s="75" t="str">
        <f>IFERROR(VLOOKUP(AP12,'Projets entreprise'!$C$2:$E$91,3,FALSE()), "")</f>
        <v/>
      </c>
      <c r="AQ13" s="75" t="str">
        <f>IFERROR(VLOOKUP(AQ12,'Projets entreprise'!$C$2:$E$91,3,FALSE()), "")</f>
        <v/>
      </c>
      <c r="AR13" s="76" t="str">
        <f>IFERROR(VLOOKUP(AR12,'Projets entreprise'!$C$2:$E$91,3,FALSE()), "")</f>
        <v/>
      </c>
      <c r="AS13" s="86">
        <f>IFERROR(AVERAGE(V13:AR13), "")</f>
        <v>0</v>
      </c>
    </row>
    <row r="14" spans="1:45" ht="15.6" customHeight="1">
      <c r="A14" s="94" t="s">
        <v>137</v>
      </c>
      <c r="B14" s="95" t="s">
        <v>138</v>
      </c>
      <c r="C14" s="54">
        <v>431</v>
      </c>
      <c r="D14" s="55">
        <v>306</v>
      </c>
      <c r="E14" s="55"/>
      <c r="F14" s="55"/>
      <c r="G14" s="55"/>
      <c r="H14" s="55"/>
      <c r="I14" s="55"/>
      <c r="J14" s="55"/>
      <c r="K14" s="55"/>
      <c r="L14" s="55"/>
      <c r="M14" s="54"/>
      <c r="N14" s="55"/>
      <c r="O14" s="55"/>
      <c r="P14" s="55"/>
      <c r="Q14" s="55"/>
      <c r="R14" s="55"/>
      <c r="S14" s="55"/>
      <c r="T14" s="55"/>
      <c r="U14" s="77"/>
      <c r="V14" s="56" t="s">
        <v>92</v>
      </c>
      <c r="W14" s="51" t="s">
        <v>94</v>
      </c>
      <c r="X14" s="51" t="s">
        <v>104</v>
      </c>
      <c r="Y14" s="51" t="s">
        <v>112</v>
      </c>
      <c r="AR14" s="63"/>
      <c r="AS14" s="85"/>
    </row>
    <row r="15" spans="1:45">
      <c r="A15" s="94"/>
      <c r="B15" s="95"/>
      <c r="C15" s="64">
        <f>IFERROR(VLOOKUP(C14,'Modules informatiques'!$A$2:$D$50,4,FALSE()), "")</f>
        <v>0</v>
      </c>
      <c r="D15" s="65">
        <f>IFERROR(VLOOKUP(D14,'Modules informatiques'!$A$2:$D$50,4,FALSE()), "")</f>
        <v>0</v>
      </c>
      <c r="E15" s="65" t="str">
        <f>IFERROR(VLOOKUP(E14,'Modules informatiques'!$A$2:$D$50,4,FALSE()), "")</f>
        <v/>
      </c>
      <c r="F15" s="65" t="str">
        <f>IFERROR(VLOOKUP(F14,'Modules informatiques'!$A$2:$D$50,4,FALSE()), "")</f>
        <v/>
      </c>
      <c r="G15" s="65" t="str">
        <f>IFERROR(VLOOKUP(G14,'Modules informatiques'!$A$2:$D$50,4,FALSE()), "")</f>
        <v/>
      </c>
      <c r="H15" s="65" t="str">
        <f>IFERROR(VLOOKUP(H14,'Modules informatiques'!$A$2:$D$50,4,FALSE()), "")</f>
        <v/>
      </c>
      <c r="I15" s="65" t="str">
        <f>IFERROR(VLOOKUP(I14,'Modules informatiques'!$A$2:$D$50,4,FALSE()), "")</f>
        <v/>
      </c>
      <c r="J15" s="65" t="str">
        <f>IFERROR(VLOOKUP(J14,'Modules informatiques'!$A$2:$D$50,4,FALSE()), "")</f>
        <v/>
      </c>
      <c r="K15" s="65" t="str">
        <f>IFERROR(VLOOKUP(K14,'Modules informatiques'!$A$2:$D$50,4,FALSE()), "")</f>
        <v/>
      </c>
      <c r="L15" s="65" t="str">
        <f>IFERROR(VLOOKUP(L14,'Modules informatiques'!$A$2:$D$50,4,FALSE()), "")</f>
        <v/>
      </c>
      <c r="M15" s="64" t="str">
        <f>IFERROR(VLOOKUP(M14,'Modules informatiques'!$A$2:$D$50,4,FALSE()), "")</f>
        <v/>
      </c>
      <c r="N15" s="65" t="str">
        <f>IFERROR(VLOOKUP(N14,'Modules informatiques'!$A$2:$D$50,4,FALSE()), "")</f>
        <v/>
      </c>
      <c r="O15" s="65" t="str">
        <f>IFERROR(VLOOKUP(O14,'Modules informatiques'!$A$2:$D$50,4,FALSE()), "")</f>
        <v/>
      </c>
      <c r="P15" s="65" t="str">
        <f>IFERROR(VLOOKUP(P14,'Modules informatiques'!$A$2:$D$50,4,FALSE()), "")</f>
        <v/>
      </c>
      <c r="Q15" s="65" t="str">
        <f>IFERROR(VLOOKUP(Q14,'Modules informatiques'!$A$2:$D$50,4,FALSE()), "")</f>
        <v/>
      </c>
      <c r="R15" s="65" t="str">
        <f>IFERROR(VLOOKUP(R14,'Modules informatiques'!$A$2:$D$50,4,FALSE()), "")</f>
        <v/>
      </c>
      <c r="S15" s="65" t="str">
        <f>IFERROR(VLOOKUP(S14,'Modules informatiques'!$A$2:$D$50,4,FALSE()), "")</f>
        <v/>
      </c>
      <c r="T15" s="65" t="str">
        <f>IFERROR(VLOOKUP(T14,'Modules informatiques'!$A$2:$D$50,4,FALSE()), "")</f>
        <v/>
      </c>
      <c r="U15" s="78">
        <f>IFERROR(AVERAGE(C15:T15), "")</f>
        <v>0</v>
      </c>
      <c r="V15" s="64">
        <f>IFERROR(VLOOKUP(V14,'Projets entreprise'!$C$2:$E$91,3,FALSE()), "")</f>
        <v>0</v>
      </c>
      <c r="W15" s="65">
        <f>IFERROR(VLOOKUP(W14,'Projets entreprise'!$C$2:$E$91,3,FALSE()), "")</f>
        <v>0</v>
      </c>
      <c r="X15" s="65">
        <f>IFERROR(VLOOKUP(X14,'Projets entreprise'!$C$2:$E$91,3,FALSE()), "")</f>
        <v>0</v>
      </c>
      <c r="Y15" s="65">
        <f>IFERROR(VLOOKUP(Y14,'Projets entreprise'!$C$2:$E$91,3,FALSE()), "")</f>
        <v>0</v>
      </c>
      <c r="Z15" s="65" t="str">
        <f>IFERROR(VLOOKUP(Z14,'Projets entreprise'!$C$2:$E$91,3,FALSE()), "")</f>
        <v/>
      </c>
      <c r="AA15" s="65" t="str">
        <f>IFERROR(VLOOKUP(AA14,'Projets entreprise'!$C$2:$E$91,3,FALSE()), "")</f>
        <v/>
      </c>
      <c r="AB15" s="65" t="str">
        <f>IFERROR(VLOOKUP(AB14,'Projets entreprise'!$C$2:$E$91,3,FALSE()), "")</f>
        <v/>
      </c>
      <c r="AC15" s="65" t="str">
        <f>IFERROR(VLOOKUP(AC14,'Projets entreprise'!$C$2:$E$91,3,FALSE()), "")</f>
        <v/>
      </c>
      <c r="AD15" s="65" t="str">
        <f>IFERROR(VLOOKUP(AD14,'Projets entreprise'!$C$2:$E$91,3,FALSE()), "")</f>
        <v/>
      </c>
      <c r="AE15" s="65" t="str">
        <f>IFERROR(VLOOKUP(AE14,'Projets entreprise'!$C$2:$E$91,3,FALSE()), "")</f>
        <v/>
      </c>
      <c r="AF15" s="65" t="str">
        <f>IFERROR(VLOOKUP(AF14,'Projets entreprise'!$C$2:$E$91,3,FALSE()), "")</f>
        <v/>
      </c>
      <c r="AG15" s="65" t="str">
        <f>IFERROR(VLOOKUP(AG14,'Projets entreprise'!$C$2:$E$91,3,FALSE()), "")</f>
        <v/>
      </c>
      <c r="AH15" s="65" t="str">
        <f>IFERROR(VLOOKUP(AH14,'Projets entreprise'!$C$2:$E$91,3,FALSE()), "")</f>
        <v/>
      </c>
      <c r="AI15" s="65" t="str">
        <f>IFERROR(VLOOKUP(AI14,'Projets entreprise'!$C$2:$E$91,3,FALSE()), "")</f>
        <v/>
      </c>
      <c r="AJ15" s="65" t="str">
        <f>IFERROR(VLOOKUP(AJ14,'Projets entreprise'!$C$2:$E$91,3,FALSE()), "")</f>
        <v/>
      </c>
      <c r="AK15" s="65" t="str">
        <f>IFERROR(VLOOKUP(AK14,'Projets entreprise'!$C$2:$E$91,3,FALSE()), "")</f>
        <v/>
      </c>
      <c r="AL15" s="65" t="str">
        <f>IFERROR(VLOOKUP(AL14,'Projets entreprise'!$C$2:$E$91,3,FALSE()), "")</f>
        <v/>
      </c>
      <c r="AM15" s="65" t="str">
        <f>IFERROR(VLOOKUP(AM14,'Projets entreprise'!$C$2:$E$91,3,FALSE()), "")</f>
        <v/>
      </c>
      <c r="AN15" s="65" t="str">
        <f>IFERROR(VLOOKUP(AN14,'Projets entreprise'!$C$2:$E$91,3,FALSE()), "")</f>
        <v/>
      </c>
      <c r="AO15" s="65" t="str">
        <f>IFERROR(VLOOKUP(AO14,'Projets entreprise'!$C$2:$E$91,3,FALSE()), "")</f>
        <v/>
      </c>
      <c r="AP15" s="65" t="str">
        <f>IFERROR(VLOOKUP(AP14,'Projets entreprise'!$C$2:$E$91,3,FALSE()), "")</f>
        <v/>
      </c>
      <c r="AQ15" s="65" t="str">
        <f>IFERROR(VLOOKUP(AQ14,'Projets entreprise'!$C$2:$E$91,3,FALSE()), "")</f>
        <v/>
      </c>
      <c r="AR15" s="66" t="str">
        <f>IFERROR(VLOOKUP(AR14,'Projets entreprise'!$C$2:$E$91,3,FALSE()), "")</f>
        <v/>
      </c>
      <c r="AS15" s="86">
        <f>IFERROR(AVERAGE(V15:AR15), "")</f>
        <v>0</v>
      </c>
    </row>
    <row r="16" spans="1:45" ht="16.350000000000001" customHeight="1">
      <c r="A16" s="96" t="s">
        <v>139</v>
      </c>
      <c r="B16" s="97" t="s">
        <v>140</v>
      </c>
      <c r="C16" s="70">
        <v>114</v>
      </c>
      <c r="D16" s="71">
        <v>117</v>
      </c>
      <c r="E16" s="71"/>
      <c r="F16" s="71"/>
      <c r="G16" s="71"/>
      <c r="H16" s="71"/>
      <c r="I16" s="71"/>
      <c r="J16" s="71"/>
      <c r="K16" s="71"/>
      <c r="L16" s="71"/>
      <c r="M16" s="70">
        <v>187</v>
      </c>
      <c r="N16" s="71"/>
      <c r="O16" s="71"/>
      <c r="P16" s="71"/>
      <c r="Q16" s="71"/>
      <c r="R16" s="71"/>
      <c r="S16" s="71"/>
      <c r="T16" s="71"/>
      <c r="U16" s="77"/>
      <c r="V16" s="72" t="s">
        <v>90</v>
      </c>
      <c r="W16" s="83"/>
      <c r="X16" s="83"/>
      <c r="Y16" s="83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73"/>
      <c r="AS16" s="85"/>
    </row>
    <row r="17" spans="1:45">
      <c r="A17" s="96"/>
      <c r="B17" s="97"/>
      <c r="C17" s="74">
        <f>IFERROR(VLOOKUP(C16,'Modules informatiques'!$A$2:$D$50,4,FALSE()), "")</f>
        <v>0</v>
      </c>
      <c r="D17" s="75">
        <f>IFERROR(VLOOKUP(D16,'Modules informatiques'!$A$2:$D$50,4,FALSE()), "")</f>
        <v>0</v>
      </c>
      <c r="E17" s="75" t="str">
        <f>IFERROR(VLOOKUP(E16,'Modules informatiques'!$A$2:$D$50,4,FALSE()), "")</f>
        <v/>
      </c>
      <c r="F17" s="75" t="str">
        <f>IFERROR(VLOOKUP(F16,'Modules informatiques'!$A$2:$D$50,4,FALSE()), "")</f>
        <v/>
      </c>
      <c r="G17" s="75" t="str">
        <f>IFERROR(VLOOKUP(G16,'Modules informatiques'!$A$2:$D$50,4,FALSE()), "")</f>
        <v/>
      </c>
      <c r="H17" s="75" t="str">
        <f>IFERROR(VLOOKUP(H16,'Modules informatiques'!$A$2:$D$50,4,FALSE()), "")</f>
        <v/>
      </c>
      <c r="I17" s="75" t="str">
        <f>IFERROR(VLOOKUP(I16,'Modules informatiques'!$A$2:$D$50,4,FALSE()), "")</f>
        <v/>
      </c>
      <c r="J17" s="75" t="str">
        <f>IFERROR(VLOOKUP(J16,'Modules informatiques'!$A$2:$D$50,4,FALSE()), "")</f>
        <v/>
      </c>
      <c r="K17" s="75" t="str">
        <f>IFERROR(VLOOKUP(K16,'Modules informatiques'!$A$2:$D$50,4,FALSE()), "")</f>
        <v/>
      </c>
      <c r="L17" s="75" t="str">
        <f>IFERROR(VLOOKUP(L16,'Modules informatiques'!$A$2:$D$50,4,FALSE()), "")</f>
        <v/>
      </c>
      <c r="M17" s="74">
        <f>IFERROR(VLOOKUP(M16,'Modules informatiques'!$A$2:$D$50,4,FALSE()), "")</f>
        <v>0</v>
      </c>
      <c r="N17" s="75" t="str">
        <f>IFERROR(VLOOKUP(N16,'Modules informatiques'!$A$2:$D$50,4,FALSE()), "")</f>
        <v/>
      </c>
      <c r="O17" s="75" t="str">
        <f>IFERROR(VLOOKUP(O16,'Modules informatiques'!$A$2:$D$50,4,FALSE()), "")</f>
        <v/>
      </c>
      <c r="P17" s="75" t="str">
        <f>IFERROR(VLOOKUP(P16,'Modules informatiques'!$A$2:$D$50,4,FALSE()), "")</f>
        <v/>
      </c>
      <c r="Q17" s="75" t="str">
        <f>IFERROR(VLOOKUP(Q16,'Modules informatiques'!$A$2:$D$50,4,FALSE()), "")</f>
        <v/>
      </c>
      <c r="R17" s="75" t="str">
        <f>IFERROR(VLOOKUP(R16,'Modules informatiques'!$A$2:$D$50,4,FALSE()), "")</f>
        <v/>
      </c>
      <c r="S17" s="75" t="str">
        <f>IFERROR(VLOOKUP(S16,'Modules informatiques'!$A$2:$D$50,4,FALSE()), "")</f>
        <v/>
      </c>
      <c r="T17" s="75" t="str">
        <f>IFERROR(VLOOKUP(T16,'Modules informatiques'!$A$2:$D$50,4,FALSE()), "")</f>
        <v/>
      </c>
      <c r="U17" s="78">
        <f>IFERROR(AVERAGE(C17:T17), "")</f>
        <v>0</v>
      </c>
      <c r="V17" s="74">
        <f>IFERROR(VLOOKUP(V16,'Projets entreprise'!$C$2:$E$91,3,FALSE()), "")</f>
        <v>0</v>
      </c>
      <c r="W17" s="75" t="str">
        <f>IFERROR(VLOOKUP(W16,'Projets entreprise'!$C$2:$E$91,3,FALSE()), "")</f>
        <v/>
      </c>
      <c r="X17" s="75" t="str">
        <f>IFERROR(VLOOKUP(X16,'Projets entreprise'!$C$2:$E$91,3,FALSE()), "")</f>
        <v/>
      </c>
      <c r="Y17" s="75" t="str">
        <f>IFERROR(VLOOKUP(Y16,'Projets entreprise'!$C$2:$E$91,3,FALSE()), "")</f>
        <v/>
      </c>
      <c r="Z17" s="75" t="str">
        <f>IFERROR(VLOOKUP(Z16,'Projets entreprise'!$C$2:$E$91,3,FALSE()), "")</f>
        <v/>
      </c>
      <c r="AA17" s="75" t="str">
        <f>IFERROR(VLOOKUP(AA16,'Projets entreprise'!$C$2:$E$91,3,FALSE()), "")</f>
        <v/>
      </c>
      <c r="AB17" s="75" t="str">
        <f>IFERROR(VLOOKUP(AB16,'Projets entreprise'!$C$2:$E$91,3,FALSE()), "")</f>
        <v/>
      </c>
      <c r="AC17" s="75" t="str">
        <f>IFERROR(VLOOKUP(AC16,'Projets entreprise'!$C$2:$E$91,3,FALSE()), "")</f>
        <v/>
      </c>
      <c r="AD17" s="75" t="str">
        <f>IFERROR(VLOOKUP(AD16,'Projets entreprise'!$C$2:$E$91,3,FALSE()), "")</f>
        <v/>
      </c>
      <c r="AE17" s="75" t="str">
        <f>IFERROR(VLOOKUP(AE16,'Projets entreprise'!$C$2:$E$91,3,FALSE()), "")</f>
        <v/>
      </c>
      <c r="AF17" s="75" t="str">
        <f>IFERROR(VLOOKUP(AF16,'Projets entreprise'!$C$2:$E$91,3,FALSE()), "")</f>
        <v/>
      </c>
      <c r="AG17" s="75" t="str">
        <f>IFERROR(VLOOKUP(AG16,'Projets entreprise'!$C$2:$E$91,3,FALSE()), "")</f>
        <v/>
      </c>
      <c r="AH17" s="75" t="str">
        <f>IFERROR(VLOOKUP(AH16,'Projets entreprise'!$C$2:$E$91,3,FALSE()), "")</f>
        <v/>
      </c>
      <c r="AI17" s="75" t="str">
        <f>IFERROR(VLOOKUP(AI16,'Projets entreprise'!$C$2:$E$91,3,FALSE()), "")</f>
        <v/>
      </c>
      <c r="AJ17" s="75" t="str">
        <f>IFERROR(VLOOKUP(AJ16,'Projets entreprise'!$C$2:$E$91,3,FALSE()), "")</f>
        <v/>
      </c>
      <c r="AK17" s="75" t="str">
        <f>IFERROR(VLOOKUP(AK16,'Projets entreprise'!$C$2:$E$91,3,FALSE()), "")</f>
        <v/>
      </c>
      <c r="AL17" s="75" t="str">
        <f>IFERROR(VLOOKUP(AL16,'Projets entreprise'!$C$2:$E$91,3,FALSE()), "")</f>
        <v/>
      </c>
      <c r="AM17" s="75" t="str">
        <f>IFERROR(VLOOKUP(AM16,'Projets entreprise'!$C$2:$E$91,3,FALSE()), "")</f>
        <v/>
      </c>
      <c r="AN17" s="75" t="str">
        <f>IFERROR(VLOOKUP(AN16,'Projets entreprise'!$C$2:$E$91,3,FALSE()), "")</f>
        <v/>
      </c>
      <c r="AO17" s="75" t="str">
        <f>IFERROR(VLOOKUP(AO16,'Projets entreprise'!$C$2:$E$91,3,FALSE()), "")</f>
        <v/>
      </c>
      <c r="AP17" s="75" t="str">
        <f>IFERROR(VLOOKUP(AP16,'Projets entreprise'!$C$2:$E$91,3,FALSE()), "")</f>
        <v/>
      </c>
      <c r="AQ17" s="75" t="str">
        <f>IFERROR(VLOOKUP(AQ16,'Projets entreprise'!$C$2:$E$91,3,FALSE()), "")</f>
        <v/>
      </c>
      <c r="AR17" s="76" t="str">
        <f>IFERROR(VLOOKUP(AR16,'Projets entreprise'!$C$2:$E$91,3,FALSE()), "")</f>
        <v/>
      </c>
      <c r="AS17" s="86">
        <f>IFERROR(AVERAGE(V17:AR17), "")</f>
        <v>0</v>
      </c>
    </row>
    <row r="18" spans="1:45" ht="15.6" customHeight="1">
      <c r="A18" s="94" t="s">
        <v>141</v>
      </c>
      <c r="B18" s="95" t="s">
        <v>142</v>
      </c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4"/>
      <c r="N18" s="55"/>
      <c r="O18" s="55"/>
      <c r="P18" s="55"/>
      <c r="Q18" s="55"/>
      <c r="R18" s="55"/>
      <c r="S18" s="55"/>
      <c r="T18" s="55"/>
      <c r="U18" s="77"/>
      <c r="V18" s="56"/>
      <c r="AR18" s="63"/>
      <c r="AS18" s="85"/>
    </row>
    <row r="19" spans="1:45">
      <c r="A19" s="94"/>
      <c r="B19" s="95"/>
      <c r="C19" s="64" t="str">
        <f>IFERROR(VLOOKUP(C18,'Modules informatiques'!$A$2:$D$50,4,FALSE()), "")</f>
        <v/>
      </c>
      <c r="D19" s="65" t="str">
        <f>IFERROR(VLOOKUP(D18,'Modules informatiques'!$A$2:$D$50,4,FALSE()), "")</f>
        <v/>
      </c>
      <c r="E19" s="65" t="str">
        <f>IFERROR(VLOOKUP(E18,'Modules informatiques'!$A$2:$D$50,4,FALSE()), "")</f>
        <v/>
      </c>
      <c r="F19" s="65" t="str">
        <f>IFERROR(VLOOKUP(F18,'Modules informatiques'!$A$2:$D$50,4,FALSE()), "")</f>
        <v/>
      </c>
      <c r="G19" s="65" t="str">
        <f>IFERROR(VLOOKUP(G18,'Modules informatiques'!$A$2:$D$50,4,FALSE()), "")</f>
        <v/>
      </c>
      <c r="H19" s="65" t="str">
        <f>IFERROR(VLOOKUP(H18,'Modules informatiques'!$A$2:$D$50,4,FALSE()), "")</f>
        <v/>
      </c>
      <c r="I19" s="65" t="str">
        <f>IFERROR(VLOOKUP(I18,'Modules informatiques'!$A$2:$D$50,4,FALSE()), "")</f>
        <v/>
      </c>
      <c r="J19" s="65" t="str">
        <f>IFERROR(VLOOKUP(J18,'Modules informatiques'!$A$2:$D$50,4,FALSE()), "")</f>
        <v/>
      </c>
      <c r="K19" s="65" t="str">
        <f>IFERROR(VLOOKUP(K18,'Modules informatiques'!$A$2:$D$50,4,FALSE()), "")</f>
        <v/>
      </c>
      <c r="L19" s="65" t="str">
        <f>IFERROR(VLOOKUP(L18,'Modules informatiques'!$A$2:$D$50,4,FALSE()), "")</f>
        <v/>
      </c>
      <c r="M19" s="64" t="str">
        <f>IFERROR(VLOOKUP(M18,'Modules informatiques'!$A$2:$D$50,4,FALSE()), "")</f>
        <v/>
      </c>
      <c r="N19" s="65" t="str">
        <f>IFERROR(VLOOKUP(N18,'Modules informatiques'!$A$2:$D$50,4,FALSE()), "")</f>
        <v/>
      </c>
      <c r="O19" s="65" t="str">
        <f>IFERROR(VLOOKUP(O18,'Modules informatiques'!$A$2:$D$50,4,FALSE()), "")</f>
        <v/>
      </c>
      <c r="P19" s="65" t="str">
        <f>IFERROR(VLOOKUP(P18,'Modules informatiques'!$A$2:$D$50,4,FALSE()), "")</f>
        <v/>
      </c>
      <c r="Q19" s="65" t="str">
        <f>IFERROR(VLOOKUP(Q18,'Modules informatiques'!$A$2:$D$50,4,FALSE()), "")</f>
        <v/>
      </c>
      <c r="R19" s="65" t="str">
        <f>IFERROR(VLOOKUP(R18,'Modules informatiques'!$A$2:$D$50,4,FALSE()), "")</f>
        <v/>
      </c>
      <c r="S19" s="65" t="str">
        <f>IFERROR(VLOOKUP(S18,'Modules informatiques'!$A$2:$D$50,4,FALSE()), "")</f>
        <v/>
      </c>
      <c r="T19" s="65" t="str">
        <f>IFERROR(VLOOKUP(T18,'Modules informatiques'!$A$2:$D$50,4,FALSE()), "")</f>
        <v/>
      </c>
      <c r="U19" s="78" t="str">
        <f>IFERROR(AVERAGE(C19:T19), "")</f>
        <v/>
      </c>
      <c r="V19" s="64" t="str">
        <f>IFERROR(VLOOKUP(V18,'Projets entreprise'!$C$2:$E$91,3,FALSE()), "")</f>
        <v/>
      </c>
      <c r="W19" s="65" t="str">
        <f>IFERROR(VLOOKUP(W18,'Projets entreprise'!$C$2:$E$91,3,FALSE()), "")</f>
        <v/>
      </c>
      <c r="X19" s="65" t="str">
        <f>IFERROR(VLOOKUP(X18,'Projets entreprise'!$C$2:$E$91,3,FALSE()), "")</f>
        <v/>
      </c>
      <c r="Y19" s="65" t="str">
        <f>IFERROR(VLOOKUP(Y18,'Projets entreprise'!$C$2:$E$91,3,FALSE()), "")</f>
        <v/>
      </c>
      <c r="Z19" s="65" t="str">
        <f>IFERROR(VLOOKUP(Z18,'Projets entreprise'!$C$2:$E$91,3,FALSE()), "")</f>
        <v/>
      </c>
      <c r="AA19" s="65" t="str">
        <f>IFERROR(VLOOKUP(AA18,'Projets entreprise'!$C$2:$E$91,3,FALSE()), "")</f>
        <v/>
      </c>
      <c r="AB19" s="65" t="str">
        <f>IFERROR(VLOOKUP(AB18,'Projets entreprise'!$C$2:$E$91,3,FALSE()), "")</f>
        <v/>
      </c>
      <c r="AC19" s="65" t="str">
        <f>IFERROR(VLOOKUP(AC18,'Projets entreprise'!$C$2:$E$91,3,FALSE()), "")</f>
        <v/>
      </c>
      <c r="AD19" s="65" t="str">
        <f>IFERROR(VLOOKUP(AD18,'Projets entreprise'!$C$2:$E$91,3,FALSE()), "")</f>
        <v/>
      </c>
      <c r="AE19" s="65" t="str">
        <f>IFERROR(VLOOKUP(AE18,'Projets entreprise'!$C$2:$E$91,3,FALSE()), "")</f>
        <v/>
      </c>
      <c r="AF19" s="65" t="str">
        <f>IFERROR(VLOOKUP(AF18,'Projets entreprise'!$C$2:$E$91,3,FALSE()), "")</f>
        <v/>
      </c>
      <c r="AG19" s="65" t="str">
        <f>IFERROR(VLOOKUP(AG18,'Projets entreprise'!$C$2:$E$91,3,FALSE()), "")</f>
        <v/>
      </c>
      <c r="AH19" s="65" t="str">
        <f>IFERROR(VLOOKUP(AH18,'Projets entreprise'!$C$2:$E$91,3,FALSE()), "")</f>
        <v/>
      </c>
      <c r="AI19" s="65" t="str">
        <f>IFERROR(VLOOKUP(AI18,'Projets entreprise'!$C$2:$E$91,3,FALSE()), "")</f>
        <v/>
      </c>
      <c r="AJ19" s="65" t="str">
        <f>IFERROR(VLOOKUP(AJ18,'Projets entreprise'!$C$2:$E$91,3,FALSE()), "")</f>
        <v/>
      </c>
      <c r="AK19" s="65" t="str">
        <f>IFERROR(VLOOKUP(AK18,'Projets entreprise'!$C$2:$E$91,3,FALSE()), "")</f>
        <v/>
      </c>
      <c r="AL19" s="65" t="str">
        <f>IFERROR(VLOOKUP(AL18,'Projets entreprise'!$C$2:$E$91,3,FALSE()), "")</f>
        <v/>
      </c>
      <c r="AM19" s="65" t="str">
        <f>IFERROR(VLOOKUP(AM18,'Projets entreprise'!$C$2:$E$91,3,FALSE()), "")</f>
        <v/>
      </c>
      <c r="AN19" s="65" t="str">
        <f>IFERROR(VLOOKUP(AN18,'Projets entreprise'!$C$2:$E$91,3,FALSE()), "")</f>
        <v/>
      </c>
      <c r="AO19" s="65" t="str">
        <f>IFERROR(VLOOKUP(AO18,'Projets entreprise'!$C$2:$E$91,3,FALSE()), "")</f>
        <v/>
      </c>
      <c r="AP19" s="65" t="str">
        <f>IFERROR(VLOOKUP(AP18,'Projets entreprise'!$C$2:$E$91,3,FALSE()), "")</f>
        <v/>
      </c>
      <c r="AQ19" s="65" t="str">
        <f>IFERROR(VLOOKUP(AQ18,'Projets entreprise'!$C$2:$E$91,3,FALSE()), "")</f>
        <v/>
      </c>
      <c r="AR19" s="66" t="str">
        <f>IFERROR(VLOOKUP(AR18,'Projets entreprise'!$C$2:$E$91,3,FALSE()), "")</f>
        <v/>
      </c>
      <c r="AS19" s="86" t="str">
        <f>IFERROR(AVERAGE(V19:AR19), "")</f>
        <v/>
      </c>
    </row>
    <row r="20" spans="1:45" ht="15.6" customHeight="1">
      <c r="A20" s="96" t="s">
        <v>143</v>
      </c>
      <c r="B20" s="97" t="s">
        <v>144</v>
      </c>
      <c r="C20" s="70">
        <v>231</v>
      </c>
      <c r="D20" s="71"/>
      <c r="E20" s="71"/>
      <c r="F20" s="71"/>
      <c r="G20" s="71"/>
      <c r="H20" s="71"/>
      <c r="I20" s="71"/>
      <c r="J20" s="71"/>
      <c r="K20" s="71"/>
      <c r="L20" s="71"/>
      <c r="M20" s="70">
        <v>216</v>
      </c>
      <c r="N20" s="71">
        <v>217</v>
      </c>
      <c r="O20" s="71">
        <v>185</v>
      </c>
      <c r="P20" s="71">
        <v>107</v>
      </c>
      <c r="Q20" s="71"/>
      <c r="R20" s="71"/>
      <c r="S20" s="71"/>
      <c r="T20" s="71"/>
      <c r="U20" s="77"/>
      <c r="V20" s="72"/>
      <c r="W20" s="83"/>
      <c r="X20" s="83"/>
      <c r="Y20" s="83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73"/>
      <c r="AS20" s="85"/>
    </row>
    <row r="21" spans="1:45">
      <c r="A21" s="96"/>
      <c r="B21" s="97"/>
      <c r="C21" s="74">
        <f>IFERROR(VLOOKUP(C20,'Modules informatiques'!$A$2:$D$50,4,FALSE()), "")</f>
        <v>0</v>
      </c>
      <c r="D21" s="75" t="str">
        <f>IFERROR(VLOOKUP(D20,'Modules informatiques'!$A$2:$D$50,4,FALSE()), "")</f>
        <v/>
      </c>
      <c r="E21" s="75" t="str">
        <f>IFERROR(VLOOKUP(E20,'Modules informatiques'!$A$2:$D$50,4,FALSE()), "")</f>
        <v/>
      </c>
      <c r="F21" s="75" t="str">
        <f>IFERROR(VLOOKUP(F20,'Modules informatiques'!$A$2:$D$50,4,FALSE()), "")</f>
        <v/>
      </c>
      <c r="G21" s="75" t="str">
        <f>IFERROR(VLOOKUP(G20,'Modules informatiques'!$A$2:$D$50,4,FALSE()), "")</f>
        <v/>
      </c>
      <c r="H21" s="75" t="str">
        <f>IFERROR(VLOOKUP(H20,'Modules informatiques'!$A$2:$D$50,4,FALSE()), "")</f>
        <v/>
      </c>
      <c r="I21" s="75" t="str">
        <f>IFERROR(VLOOKUP(I20,'Modules informatiques'!$A$2:$D$50,4,FALSE()), "")</f>
        <v/>
      </c>
      <c r="J21" s="75" t="str">
        <f>IFERROR(VLOOKUP(J20,'Modules informatiques'!$A$2:$D$50,4,FALSE()), "")</f>
        <v/>
      </c>
      <c r="K21" s="75" t="str">
        <f>IFERROR(VLOOKUP(K20,'Modules informatiques'!$A$2:$D$50,4,FALSE()), "")</f>
        <v/>
      </c>
      <c r="L21" s="75" t="str">
        <f>IFERROR(VLOOKUP(L20,'Modules informatiques'!$A$2:$D$50,4,FALSE()), "")</f>
        <v/>
      </c>
      <c r="M21" s="74">
        <f>IFERROR(VLOOKUP(M20,'Modules informatiques'!$A$2:$D$50,4,FALSE()), "")</f>
        <v>0</v>
      </c>
      <c r="N21" s="75">
        <f>IFERROR(VLOOKUP(N20,'Modules informatiques'!$A$2:$D$50,4,FALSE()), "")</f>
        <v>0</v>
      </c>
      <c r="O21" s="75">
        <f>IFERROR(VLOOKUP(O20,'Modules informatiques'!$A$2:$D$50,4,FALSE()), "")</f>
        <v>0</v>
      </c>
      <c r="P21" s="75">
        <f>IFERROR(VLOOKUP(P20,'Modules informatiques'!$A$2:$D$50,4,FALSE()), "")</f>
        <v>0</v>
      </c>
      <c r="Q21" s="75" t="str">
        <f>IFERROR(VLOOKUP(Q20,'Modules informatiques'!$A$2:$D$50,4,FALSE()), "")</f>
        <v/>
      </c>
      <c r="R21" s="75" t="str">
        <f>IFERROR(VLOOKUP(R20,'Modules informatiques'!$A$2:$D$50,4,FALSE()), "")</f>
        <v/>
      </c>
      <c r="S21" s="75" t="str">
        <f>IFERROR(VLOOKUP(S20,'Modules informatiques'!$A$2:$D$50,4,FALSE()), "")</f>
        <v/>
      </c>
      <c r="T21" s="75" t="str">
        <f>IFERROR(VLOOKUP(T20,'Modules informatiques'!$A$2:$D$50,4,FALSE()), "")</f>
        <v/>
      </c>
      <c r="U21" s="78">
        <f>IFERROR(AVERAGE(C21:T21), "")</f>
        <v>0</v>
      </c>
      <c r="V21" s="74" t="str">
        <f>IFERROR(VLOOKUP(V20,'Projets entreprise'!$C$2:$E$91,3,FALSE()), "")</f>
        <v/>
      </c>
      <c r="W21" s="75" t="str">
        <f>IFERROR(VLOOKUP(W20,'Projets entreprise'!$C$2:$E$91,3,FALSE()), "")</f>
        <v/>
      </c>
      <c r="X21" s="75" t="str">
        <f>IFERROR(VLOOKUP(X20,'Projets entreprise'!$C$2:$E$91,3,FALSE()), "")</f>
        <v/>
      </c>
      <c r="Y21" s="75" t="str">
        <f>IFERROR(VLOOKUP(Y20,'Projets entreprise'!$C$2:$E$91,3,FALSE()), "")</f>
        <v/>
      </c>
      <c r="Z21" s="75" t="str">
        <f>IFERROR(VLOOKUP(Z20,'Projets entreprise'!$C$2:$E$91,3,FALSE()), "")</f>
        <v/>
      </c>
      <c r="AA21" s="75" t="str">
        <f>IFERROR(VLOOKUP(AA20,'Projets entreprise'!$C$2:$E$91,3,FALSE()), "")</f>
        <v/>
      </c>
      <c r="AB21" s="75" t="str">
        <f>IFERROR(VLOOKUP(AB20,'Projets entreprise'!$C$2:$E$91,3,FALSE()), "")</f>
        <v/>
      </c>
      <c r="AC21" s="75" t="str">
        <f>IFERROR(VLOOKUP(AC20,'Projets entreprise'!$C$2:$E$91,3,FALSE()), "")</f>
        <v/>
      </c>
      <c r="AD21" s="75" t="str">
        <f>IFERROR(VLOOKUP(AD20,'Projets entreprise'!$C$2:$E$91,3,FALSE()), "")</f>
        <v/>
      </c>
      <c r="AE21" s="75" t="str">
        <f>IFERROR(VLOOKUP(AE20,'Projets entreprise'!$C$2:$E$91,3,FALSE()), "")</f>
        <v/>
      </c>
      <c r="AF21" s="75" t="str">
        <f>IFERROR(VLOOKUP(AF20,'Projets entreprise'!$C$2:$E$91,3,FALSE()), "")</f>
        <v/>
      </c>
      <c r="AG21" s="75" t="str">
        <f>IFERROR(VLOOKUP(AG20,'Projets entreprise'!$C$2:$E$91,3,FALSE()), "")</f>
        <v/>
      </c>
      <c r="AH21" s="75" t="str">
        <f>IFERROR(VLOOKUP(AH20,'Projets entreprise'!$C$2:$E$91,3,FALSE()), "")</f>
        <v/>
      </c>
      <c r="AI21" s="75" t="str">
        <f>IFERROR(VLOOKUP(AI20,'Projets entreprise'!$C$2:$E$91,3,FALSE()), "")</f>
        <v/>
      </c>
      <c r="AJ21" s="75" t="str">
        <f>IFERROR(VLOOKUP(AJ20,'Projets entreprise'!$C$2:$E$91,3,FALSE()), "")</f>
        <v/>
      </c>
      <c r="AK21" s="75" t="str">
        <f>IFERROR(VLOOKUP(AK20,'Projets entreprise'!$C$2:$E$91,3,FALSE()), "")</f>
        <v/>
      </c>
      <c r="AL21" s="75" t="str">
        <f>IFERROR(VLOOKUP(AL20,'Projets entreprise'!$C$2:$E$91,3,FALSE()), "")</f>
        <v/>
      </c>
      <c r="AM21" s="75" t="str">
        <f>IFERROR(VLOOKUP(AM20,'Projets entreprise'!$C$2:$E$91,3,FALSE()), "")</f>
        <v/>
      </c>
      <c r="AN21" s="75" t="str">
        <f>IFERROR(VLOOKUP(AN20,'Projets entreprise'!$C$2:$E$91,3,FALSE()), "")</f>
        <v/>
      </c>
      <c r="AO21" s="75" t="str">
        <f>IFERROR(VLOOKUP(AO20,'Projets entreprise'!$C$2:$E$91,3,FALSE()), "")</f>
        <v/>
      </c>
      <c r="AP21" s="75" t="str">
        <f>IFERROR(VLOOKUP(AP20,'Projets entreprise'!$C$2:$E$91,3,FALSE()), "")</f>
        <v/>
      </c>
      <c r="AQ21" s="75" t="str">
        <f>IFERROR(VLOOKUP(AQ20,'Projets entreprise'!$C$2:$E$91,3,FALSE()), "")</f>
        <v/>
      </c>
      <c r="AR21" s="76" t="str">
        <f>IFERROR(VLOOKUP(AR20,'Projets entreprise'!$C$2:$E$91,3,FALSE()), "")</f>
        <v/>
      </c>
      <c r="AS21" s="86" t="str">
        <f>IFERROR(AVERAGE(V21:AR21), "")</f>
        <v/>
      </c>
    </row>
    <row r="22" spans="1:45" ht="15.6" customHeight="1">
      <c r="A22" s="94" t="s">
        <v>145</v>
      </c>
      <c r="B22" s="95" t="s">
        <v>146</v>
      </c>
      <c r="C22" s="54">
        <v>254</v>
      </c>
      <c r="D22" s="55"/>
      <c r="E22" s="55"/>
      <c r="F22" s="55"/>
      <c r="G22" s="55"/>
      <c r="H22" s="55"/>
      <c r="I22" s="55"/>
      <c r="J22" s="55"/>
      <c r="K22" s="55"/>
      <c r="L22" s="55"/>
      <c r="M22" s="54"/>
      <c r="N22" s="55"/>
      <c r="O22" s="55"/>
      <c r="P22" s="55"/>
      <c r="Q22" s="55"/>
      <c r="R22" s="55"/>
      <c r="S22" s="55"/>
      <c r="T22" s="55"/>
      <c r="U22" s="77"/>
      <c r="V22" s="56" t="s">
        <v>112</v>
      </c>
      <c r="W22" s="51" t="s">
        <v>118</v>
      </c>
      <c r="AR22" s="63"/>
      <c r="AS22" s="85"/>
    </row>
    <row r="23" spans="1:45">
      <c r="A23" s="94"/>
      <c r="B23" s="95"/>
      <c r="C23" s="64">
        <f>IFERROR(VLOOKUP(C22,'Modules informatiques'!$A$2:$D$50,4,FALSE()), "")</f>
        <v>0</v>
      </c>
      <c r="D23" s="65" t="str">
        <f>IFERROR(VLOOKUP(D22,'Modules informatiques'!$A$2:$D$50,4,FALSE()), "")</f>
        <v/>
      </c>
      <c r="E23" s="65" t="str">
        <f>IFERROR(VLOOKUP(E22,'Modules informatiques'!$A$2:$D$50,4,FALSE()), "")</f>
        <v/>
      </c>
      <c r="F23" s="65" t="str">
        <f>IFERROR(VLOOKUP(F22,'Modules informatiques'!$A$2:$D$50,4,FALSE()), "")</f>
        <v/>
      </c>
      <c r="G23" s="65" t="str">
        <f>IFERROR(VLOOKUP(G22,'Modules informatiques'!$A$2:$D$50,4,FALSE()), "")</f>
        <v/>
      </c>
      <c r="H23" s="65" t="str">
        <f>IFERROR(VLOOKUP(H22,'Modules informatiques'!$A$2:$D$50,4,FALSE()), "")</f>
        <v/>
      </c>
      <c r="I23" s="65" t="str">
        <f>IFERROR(VLOOKUP(I22,'Modules informatiques'!$A$2:$D$50,4,FALSE()), "")</f>
        <v/>
      </c>
      <c r="J23" s="65" t="str">
        <f>IFERROR(VLOOKUP(J22,'Modules informatiques'!$A$2:$D$50,4,FALSE()), "")</f>
        <v/>
      </c>
      <c r="K23" s="65" t="str">
        <f>IFERROR(VLOOKUP(K22,'Modules informatiques'!$A$2:$D$50,4,FALSE()), "")</f>
        <v/>
      </c>
      <c r="L23" s="65" t="str">
        <f>IFERROR(VLOOKUP(L22,'Modules informatiques'!$A$2:$D$50,4,FALSE()), "")</f>
        <v/>
      </c>
      <c r="M23" s="64" t="str">
        <f>IFERROR(VLOOKUP(M22,'Modules informatiques'!$A$2:$D$50,4,FALSE()), "")</f>
        <v/>
      </c>
      <c r="N23" s="65" t="str">
        <f>IFERROR(VLOOKUP(N22,'Modules informatiques'!$A$2:$D$50,4,FALSE()), "")</f>
        <v/>
      </c>
      <c r="O23" s="65" t="str">
        <f>IFERROR(VLOOKUP(O22,'Modules informatiques'!$A$2:$D$50,4,FALSE()), "")</f>
        <v/>
      </c>
      <c r="P23" s="65" t="str">
        <f>IFERROR(VLOOKUP(P22,'Modules informatiques'!$A$2:$D$50,4,FALSE()), "")</f>
        <v/>
      </c>
      <c r="Q23" s="65" t="str">
        <f>IFERROR(VLOOKUP(Q22,'Modules informatiques'!$A$2:$D$50,4,FALSE()), "")</f>
        <v/>
      </c>
      <c r="R23" s="65" t="str">
        <f>IFERROR(VLOOKUP(R22,'Modules informatiques'!$A$2:$D$50,4,FALSE()), "")</f>
        <v/>
      </c>
      <c r="S23" s="65" t="str">
        <f>IFERROR(VLOOKUP(S22,'Modules informatiques'!$A$2:$D$50,4,FALSE()), "")</f>
        <v/>
      </c>
      <c r="T23" s="65" t="str">
        <f>IFERROR(VLOOKUP(T22,'Modules informatiques'!$A$2:$D$50,4,FALSE()), "")</f>
        <v/>
      </c>
      <c r="U23" s="78">
        <f>IFERROR(AVERAGE(C23:T23), "")</f>
        <v>0</v>
      </c>
      <c r="V23" s="64">
        <f>IFERROR(VLOOKUP(V22,'Projets entreprise'!$C$2:$E$91,3,FALSE()), "")</f>
        <v>0</v>
      </c>
      <c r="W23" s="65">
        <f>IFERROR(VLOOKUP(W22,'Projets entreprise'!$C$2:$E$91,3,FALSE()), "")</f>
        <v>0</v>
      </c>
      <c r="X23" s="65" t="str">
        <f>IFERROR(VLOOKUP(X22,'Projets entreprise'!$C$2:$E$91,3,FALSE()), "")</f>
        <v/>
      </c>
      <c r="Y23" s="65" t="str">
        <f>IFERROR(VLOOKUP(Y22,'Projets entreprise'!$C$2:$E$91,3,FALSE()), "")</f>
        <v/>
      </c>
      <c r="Z23" s="65" t="str">
        <f>IFERROR(VLOOKUP(Z22,'Projets entreprise'!$C$2:$E$91,3,FALSE()), "")</f>
        <v/>
      </c>
      <c r="AA23" s="65" t="str">
        <f>IFERROR(VLOOKUP(AA22,'Projets entreprise'!$C$2:$E$91,3,FALSE()), "")</f>
        <v/>
      </c>
      <c r="AB23" s="65" t="str">
        <f>IFERROR(VLOOKUP(AB22,'Projets entreprise'!$C$2:$E$91,3,FALSE()), "")</f>
        <v/>
      </c>
      <c r="AC23" s="65" t="str">
        <f>IFERROR(VLOOKUP(AC22,'Projets entreprise'!$C$2:$E$91,3,FALSE()), "")</f>
        <v/>
      </c>
      <c r="AD23" s="65" t="str">
        <f>IFERROR(VLOOKUP(AD22,'Projets entreprise'!$C$2:$E$91,3,FALSE()), "")</f>
        <v/>
      </c>
      <c r="AE23" s="65" t="str">
        <f>IFERROR(VLOOKUP(AE22,'Projets entreprise'!$C$2:$E$91,3,FALSE()), "")</f>
        <v/>
      </c>
      <c r="AF23" s="65" t="str">
        <f>IFERROR(VLOOKUP(AF22,'Projets entreprise'!$C$2:$E$91,3,FALSE()), "")</f>
        <v/>
      </c>
      <c r="AG23" s="65" t="str">
        <f>IFERROR(VLOOKUP(AG22,'Projets entreprise'!$C$2:$E$91,3,FALSE()), "")</f>
        <v/>
      </c>
      <c r="AH23" s="65" t="str">
        <f>IFERROR(VLOOKUP(AH22,'Projets entreprise'!$C$2:$E$91,3,FALSE()), "")</f>
        <v/>
      </c>
      <c r="AI23" s="65" t="str">
        <f>IFERROR(VLOOKUP(AI22,'Projets entreprise'!$C$2:$E$91,3,FALSE()), "")</f>
        <v/>
      </c>
      <c r="AJ23" s="65" t="str">
        <f>IFERROR(VLOOKUP(AJ22,'Projets entreprise'!$C$2:$E$91,3,FALSE()), "")</f>
        <v/>
      </c>
      <c r="AK23" s="65" t="str">
        <f>IFERROR(VLOOKUP(AK22,'Projets entreprise'!$C$2:$E$91,3,FALSE()), "")</f>
        <v/>
      </c>
      <c r="AL23" s="65" t="str">
        <f>IFERROR(VLOOKUP(AL22,'Projets entreprise'!$C$2:$E$91,3,FALSE()), "")</f>
        <v/>
      </c>
      <c r="AM23" s="65" t="str">
        <f>IFERROR(VLOOKUP(AM22,'Projets entreprise'!$C$2:$E$91,3,FALSE()), "")</f>
        <v/>
      </c>
      <c r="AN23" s="65" t="str">
        <f>IFERROR(VLOOKUP(AN22,'Projets entreprise'!$C$2:$E$91,3,FALSE()), "")</f>
        <v/>
      </c>
      <c r="AO23" s="65" t="str">
        <f>IFERROR(VLOOKUP(AO22,'Projets entreprise'!$C$2:$E$91,3,FALSE()), "")</f>
        <v/>
      </c>
      <c r="AP23" s="65" t="str">
        <f>IFERROR(VLOOKUP(AP22,'Projets entreprise'!$C$2:$E$91,3,FALSE()), "")</f>
        <v/>
      </c>
      <c r="AQ23" s="65" t="str">
        <f>IFERROR(VLOOKUP(AQ22,'Projets entreprise'!$C$2:$E$91,3,FALSE()), "")</f>
        <v/>
      </c>
      <c r="AR23" s="66" t="str">
        <f>IFERROR(VLOOKUP(AR22,'Projets entreprise'!$C$2:$E$91,3,FALSE()), "")</f>
        <v/>
      </c>
      <c r="AS23" s="86">
        <f>IFERROR(AVERAGE(V23:AR23), "")</f>
        <v>0</v>
      </c>
    </row>
    <row r="24" spans="1:45" ht="15.6" customHeight="1">
      <c r="A24" s="96" t="s">
        <v>147</v>
      </c>
      <c r="B24" s="97" t="s">
        <v>148</v>
      </c>
      <c r="C24" s="70">
        <v>162</v>
      </c>
      <c r="D24" s="71">
        <v>164</v>
      </c>
      <c r="E24" s="71"/>
      <c r="F24" s="71"/>
      <c r="G24" s="71"/>
      <c r="H24" s="71"/>
      <c r="I24" s="71"/>
      <c r="J24" s="71"/>
      <c r="K24" s="71"/>
      <c r="L24" s="71"/>
      <c r="M24" s="70">
        <v>110</v>
      </c>
      <c r="N24" s="71">
        <v>259</v>
      </c>
      <c r="O24" s="71"/>
      <c r="P24" s="71"/>
      <c r="Q24" s="71"/>
      <c r="R24" s="71"/>
      <c r="S24" s="71"/>
      <c r="T24" s="71"/>
      <c r="U24" s="77"/>
      <c r="V24" s="72" t="s">
        <v>110</v>
      </c>
      <c r="W24" s="83"/>
      <c r="X24" s="83"/>
      <c r="Y24" s="83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73"/>
      <c r="AS24" s="85"/>
    </row>
    <row r="25" spans="1:45">
      <c r="A25" s="96"/>
      <c r="B25" s="97"/>
      <c r="C25" s="74">
        <f>IFERROR(VLOOKUP(C24,'Modules informatiques'!$A$2:$D$50,4,FALSE()), "")</f>
        <v>0</v>
      </c>
      <c r="D25" s="75">
        <f>IFERROR(VLOOKUP(D24,'Modules informatiques'!$A$2:$D$50,4,FALSE()), "")</f>
        <v>0</v>
      </c>
      <c r="E25" s="75" t="str">
        <f>IFERROR(VLOOKUP(E24,'Modules informatiques'!$A$2:$D$50,4,FALSE()), "")</f>
        <v/>
      </c>
      <c r="F25" s="75" t="str">
        <f>IFERROR(VLOOKUP(F24,'Modules informatiques'!$A$2:$D$50,4,FALSE()), "")</f>
        <v/>
      </c>
      <c r="G25" s="75" t="str">
        <f>IFERROR(VLOOKUP(G24,'Modules informatiques'!$A$2:$D$50,4,FALSE()), "")</f>
        <v/>
      </c>
      <c r="H25" s="75" t="str">
        <f>IFERROR(VLOOKUP(H24,'Modules informatiques'!$A$2:$D$50,4,FALSE()), "")</f>
        <v/>
      </c>
      <c r="I25" s="75" t="str">
        <f>IFERROR(VLOOKUP(I24,'Modules informatiques'!$A$2:$D$50,4,FALSE()), "")</f>
        <v/>
      </c>
      <c r="J25" s="75" t="str">
        <f>IFERROR(VLOOKUP(J24,'Modules informatiques'!$A$2:$D$50,4,FALSE()), "")</f>
        <v/>
      </c>
      <c r="K25" s="75" t="str">
        <f>IFERROR(VLOOKUP(K24,'Modules informatiques'!$A$2:$D$50,4,FALSE()), "")</f>
        <v/>
      </c>
      <c r="L25" s="75" t="str">
        <f>IFERROR(VLOOKUP(L24,'Modules informatiques'!$A$2:$D$50,4,FALSE()), "")</f>
        <v/>
      </c>
      <c r="M25" s="74">
        <f>IFERROR(VLOOKUP(M24,'Modules informatiques'!$A$2:$D$50,4,FALSE()), "")</f>
        <v>0</v>
      </c>
      <c r="N25" s="75">
        <f>IFERROR(VLOOKUP(N24,'Modules informatiques'!$A$2:$D$50,4,FALSE()), "")</f>
        <v>0</v>
      </c>
      <c r="O25" s="75" t="str">
        <f>IFERROR(VLOOKUP(O24,'Modules informatiques'!$A$2:$D$50,4,FALSE()), "")</f>
        <v/>
      </c>
      <c r="P25" s="75" t="str">
        <f>IFERROR(VLOOKUP(P24,'Modules informatiques'!$A$2:$D$50,4,FALSE()), "")</f>
        <v/>
      </c>
      <c r="Q25" s="75" t="str">
        <f>IFERROR(VLOOKUP(Q24,'Modules informatiques'!$A$2:$D$50,4,FALSE()), "")</f>
        <v/>
      </c>
      <c r="R25" s="75" t="str">
        <f>IFERROR(VLOOKUP(R24,'Modules informatiques'!$A$2:$D$50,4,FALSE()), "")</f>
        <v/>
      </c>
      <c r="S25" s="75" t="str">
        <f>IFERROR(VLOOKUP(S24,'Modules informatiques'!$A$2:$D$50,4,FALSE()), "")</f>
        <v/>
      </c>
      <c r="T25" s="75" t="str">
        <f>IFERROR(VLOOKUP(T24,'Modules informatiques'!$A$2:$D$50,4,FALSE()), "")</f>
        <v/>
      </c>
      <c r="U25" s="78">
        <f>IFERROR(AVERAGE(C25:T25), "")</f>
        <v>0</v>
      </c>
      <c r="V25" s="74">
        <f>IFERROR(VLOOKUP(V24,'Projets entreprise'!$C$2:$E$91,3,FALSE()), "")</f>
        <v>0</v>
      </c>
      <c r="W25" s="75" t="str">
        <f>IFERROR(VLOOKUP(W24,'Projets entreprise'!$C$2:$E$91,3,FALSE()), "")</f>
        <v/>
      </c>
      <c r="X25" s="75" t="str">
        <f>IFERROR(VLOOKUP(X24,'Projets entreprise'!$C$2:$E$91,3,FALSE()), "")</f>
        <v/>
      </c>
      <c r="Y25" s="75" t="str">
        <f>IFERROR(VLOOKUP(Y24,'Projets entreprise'!$C$2:$E$91,3,FALSE()), "")</f>
        <v/>
      </c>
      <c r="Z25" s="75" t="str">
        <f>IFERROR(VLOOKUP(Z24,'Projets entreprise'!$C$2:$E$91,3,FALSE()), "")</f>
        <v/>
      </c>
      <c r="AA25" s="75" t="str">
        <f>IFERROR(VLOOKUP(AA24,'Projets entreprise'!$C$2:$E$91,3,FALSE()), "")</f>
        <v/>
      </c>
      <c r="AB25" s="75" t="str">
        <f>IFERROR(VLOOKUP(AB24,'Projets entreprise'!$C$2:$E$91,3,FALSE()), "")</f>
        <v/>
      </c>
      <c r="AC25" s="75" t="str">
        <f>IFERROR(VLOOKUP(AC24,'Projets entreprise'!$C$2:$E$91,3,FALSE()), "")</f>
        <v/>
      </c>
      <c r="AD25" s="75" t="str">
        <f>IFERROR(VLOOKUP(AD24,'Projets entreprise'!$C$2:$E$91,3,FALSE()), "")</f>
        <v/>
      </c>
      <c r="AE25" s="75" t="str">
        <f>IFERROR(VLOOKUP(AE24,'Projets entreprise'!$C$2:$E$91,3,FALSE()), "")</f>
        <v/>
      </c>
      <c r="AF25" s="75" t="str">
        <f>IFERROR(VLOOKUP(AF24,'Projets entreprise'!$C$2:$E$91,3,FALSE()), "")</f>
        <v/>
      </c>
      <c r="AG25" s="75" t="str">
        <f>IFERROR(VLOOKUP(AG24,'Projets entreprise'!$C$2:$E$91,3,FALSE()), "")</f>
        <v/>
      </c>
      <c r="AH25" s="75" t="str">
        <f>IFERROR(VLOOKUP(AH24,'Projets entreprise'!$C$2:$E$91,3,FALSE()), "")</f>
        <v/>
      </c>
      <c r="AI25" s="75" t="str">
        <f>IFERROR(VLOOKUP(AI24,'Projets entreprise'!$C$2:$E$91,3,FALSE()), "")</f>
        <v/>
      </c>
      <c r="AJ25" s="75" t="str">
        <f>IFERROR(VLOOKUP(AJ24,'Projets entreprise'!$C$2:$E$91,3,FALSE()), "")</f>
        <v/>
      </c>
      <c r="AK25" s="75" t="str">
        <f>IFERROR(VLOOKUP(AK24,'Projets entreprise'!$C$2:$E$91,3,FALSE()), "")</f>
        <v/>
      </c>
      <c r="AL25" s="75" t="str">
        <f>IFERROR(VLOOKUP(AL24,'Projets entreprise'!$C$2:$E$91,3,FALSE()), "")</f>
        <v/>
      </c>
      <c r="AM25" s="75" t="str">
        <f>IFERROR(VLOOKUP(AM24,'Projets entreprise'!$C$2:$E$91,3,FALSE()), "")</f>
        <v/>
      </c>
      <c r="AN25" s="75" t="str">
        <f>IFERROR(VLOOKUP(AN24,'Projets entreprise'!$C$2:$E$91,3,FALSE()), "")</f>
        <v/>
      </c>
      <c r="AO25" s="75" t="str">
        <f>IFERROR(VLOOKUP(AO24,'Projets entreprise'!$C$2:$E$91,3,FALSE()), "")</f>
        <v/>
      </c>
      <c r="AP25" s="75" t="str">
        <f>IFERROR(VLOOKUP(AP24,'Projets entreprise'!$C$2:$E$91,3,FALSE()), "")</f>
        <v/>
      </c>
      <c r="AQ25" s="75" t="str">
        <f>IFERROR(VLOOKUP(AQ24,'Projets entreprise'!$C$2:$E$91,3,FALSE()), "")</f>
        <v/>
      </c>
      <c r="AR25" s="76" t="str">
        <f>IFERROR(VLOOKUP(AR24,'Projets entreprise'!$C$2:$E$91,3,FALSE()), "")</f>
        <v/>
      </c>
      <c r="AS25" s="86">
        <f>IFERROR(AVERAGE(V25:AR25), "")</f>
        <v>0</v>
      </c>
    </row>
    <row r="26" spans="1:45" ht="15.6" customHeight="1">
      <c r="A26" s="94" t="s">
        <v>149</v>
      </c>
      <c r="B26" s="95" t="s">
        <v>150</v>
      </c>
      <c r="C26" s="54">
        <v>164</v>
      </c>
      <c r="D26" s="55"/>
      <c r="E26" s="55"/>
      <c r="F26" s="55"/>
      <c r="G26" s="55"/>
      <c r="H26" s="55"/>
      <c r="I26" s="55"/>
      <c r="J26" s="55"/>
      <c r="K26" s="55"/>
      <c r="L26" s="55"/>
      <c r="M26" s="54">
        <v>106</v>
      </c>
      <c r="N26" s="55"/>
      <c r="O26" s="55"/>
      <c r="P26" s="55"/>
      <c r="Q26" s="55"/>
      <c r="R26" s="55"/>
      <c r="S26" s="55"/>
      <c r="T26" s="55"/>
      <c r="U26" s="77"/>
      <c r="V26" s="56" t="s">
        <v>98</v>
      </c>
      <c r="W26" s="51" t="s">
        <v>104</v>
      </c>
      <c r="X26" s="51" t="s">
        <v>106</v>
      </c>
      <c r="Y26" s="51" t="s">
        <v>110</v>
      </c>
      <c r="Z26" s="50" t="s">
        <v>112</v>
      </c>
      <c r="AR26" s="63"/>
      <c r="AS26" s="85"/>
    </row>
    <row r="27" spans="1:45">
      <c r="A27" s="94"/>
      <c r="B27" s="95"/>
      <c r="C27" s="64">
        <f>IFERROR(VLOOKUP(C26,'Modules informatiques'!$A$2:$D$50,4,FALSE()), "")</f>
        <v>0</v>
      </c>
      <c r="D27" s="65" t="str">
        <f>IFERROR(VLOOKUP(D26,'Modules informatiques'!$A$2:$D$50,4,FALSE()), "")</f>
        <v/>
      </c>
      <c r="E27" s="65" t="str">
        <f>IFERROR(VLOOKUP(E26,'Modules informatiques'!$A$2:$D$50,4,FALSE()), "")</f>
        <v/>
      </c>
      <c r="F27" s="65" t="str">
        <f>IFERROR(VLOOKUP(F26,'Modules informatiques'!$A$2:$D$50,4,FALSE()), "")</f>
        <v/>
      </c>
      <c r="G27" s="65" t="str">
        <f>IFERROR(VLOOKUP(G26,'Modules informatiques'!$A$2:$D$50,4,FALSE()), "")</f>
        <v/>
      </c>
      <c r="H27" s="65" t="str">
        <f>IFERROR(VLOOKUP(H26,'Modules informatiques'!$A$2:$D$50,4,FALSE()), "")</f>
        <v/>
      </c>
      <c r="I27" s="65" t="str">
        <f>IFERROR(VLOOKUP(I26,'Modules informatiques'!$A$2:$D$50,4,FALSE()), "")</f>
        <v/>
      </c>
      <c r="J27" s="65" t="str">
        <f>IFERROR(VLOOKUP(J26,'Modules informatiques'!$A$2:$D$50,4,FALSE()), "")</f>
        <v/>
      </c>
      <c r="K27" s="65" t="str">
        <f>IFERROR(VLOOKUP(K26,'Modules informatiques'!$A$2:$D$50,4,FALSE()), "")</f>
        <v/>
      </c>
      <c r="L27" s="65" t="str">
        <f>IFERROR(VLOOKUP(L26,'Modules informatiques'!$A$2:$D$50,4,FALSE()), "")</f>
        <v/>
      </c>
      <c r="M27" s="64">
        <f>IFERROR(VLOOKUP(M26,'Modules informatiques'!$A$2:$D$50,4,FALSE()), "")</f>
        <v>0</v>
      </c>
      <c r="N27" s="65" t="str">
        <f>IFERROR(VLOOKUP(N26,'Modules informatiques'!$A$2:$D$50,4,FALSE()), "")</f>
        <v/>
      </c>
      <c r="O27" s="65" t="str">
        <f>IFERROR(VLOOKUP(O26,'Modules informatiques'!$A$2:$D$50,4,FALSE()), "")</f>
        <v/>
      </c>
      <c r="P27" s="65" t="str">
        <f>IFERROR(VLOOKUP(P26,'Modules informatiques'!$A$2:$D$50,4,FALSE()), "")</f>
        <v/>
      </c>
      <c r="Q27" s="65" t="str">
        <f>IFERROR(VLOOKUP(Q26,'Modules informatiques'!$A$2:$D$50,4,FALSE()), "")</f>
        <v/>
      </c>
      <c r="R27" s="65" t="str">
        <f>IFERROR(VLOOKUP(R26,'Modules informatiques'!$A$2:$D$50,4,FALSE()), "")</f>
        <v/>
      </c>
      <c r="S27" s="65" t="str">
        <f>IFERROR(VLOOKUP(S26,'Modules informatiques'!$A$2:$D$50,4,FALSE()), "")</f>
        <v/>
      </c>
      <c r="T27" s="65" t="str">
        <f>IFERROR(VLOOKUP(T26,'Modules informatiques'!$A$2:$D$50,4,FALSE()), "")</f>
        <v/>
      </c>
      <c r="U27" s="78">
        <f>IFERROR(AVERAGE(C27:T27), "")</f>
        <v>0</v>
      </c>
      <c r="V27" s="64">
        <f>IFERROR(VLOOKUP(V26,'Projets entreprise'!$C$2:$E$91,3,FALSE()), "")</f>
        <v>0</v>
      </c>
      <c r="W27" s="65">
        <f>IFERROR(VLOOKUP(W26,'Projets entreprise'!$C$2:$E$91,3,FALSE()), "")</f>
        <v>0</v>
      </c>
      <c r="X27" s="65">
        <f>IFERROR(VLOOKUP(X26,'Projets entreprise'!$C$2:$E$91,3,FALSE()), "")</f>
        <v>0</v>
      </c>
      <c r="Y27" s="65">
        <f>IFERROR(VLOOKUP(Y26,'Projets entreprise'!$C$2:$E$91,3,FALSE()), "")</f>
        <v>0</v>
      </c>
      <c r="Z27" s="65">
        <f>IFERROR(VLOOKUP(Z26,'Projets entreprise'!$C$2:$E$91,3,FALSE()), "")</f>
        <v>0</v>
      </c>
      <c r="AA27" s="65" t="str">
        <f>IFERROR(VLOOKUP(AA26,'Projets entreprise'!$C$2:$E$91,3,FALSE()), "")</f>
        <v/>
      </c>
      <c r="AB27" s="65" t="str">
        <f>IFERROR(VLOOKUP(AB26,'Projets entreprise'!$C$2:$E$91,3,FALSE()), "")</f>
        <v/>
      </c>
      <c r="AC27" s="65" t="str">
        <f>IFERROR(VLOOKUP(AC26,'Projets entreprise'!$C$2:$E$91,3,FALSE()), "")</f>
        <v/>
      </c>
      <c r="AD27" s="65" t="str">
        <f>IFERROR(VLOOKUP(AD26,'Projets entreprise'!$C$2:$E$91,3,FALSE()), "")</f>
        <v/>
      </c>
      <c r="AE27" s="65" t="str">
        <f>IFERROR(VLOOKUP(AE26,'Projets entreprise'!$C$2:$E$91,3,FALSE()), "")</f>
        <v/>
      </c>
      <c r="AF27" s="65" t="str">
        <f>IFERROR(VLOOKUP(AF26,'Projets entreprise'!$C$2:$E$91,3,FALSE()), "")</f>
        <v/>
      </c>
      <c r="AG27" s="65" t="str">
        <f>IFERROR(VLOOKUP(AG26,'Projets entreprise'!$C$2:$E$91,3,FALSE()), "")</f>
        <v/>
      </c>
      <c r="AH27" s="65" t="str">
        <f>IFERROR(VLOOKUP(AH26,'Projets entreprise'!$C$2:$E$91,3,FALSE()), "")</f>
        <v/>
      </c>
      <c r="AI27" s="65" t="str">
        <f>IFERROR(VLOOKUP(AI26,'Projets entreprise'!$C$2:$E$91,3,FALSE()), "")</f>
        <v/>
      </c>
      <c r="AJ27" s="65" t="str">
        <f>IFERROR(VLOOKUP(AJ26,'Projets entreprise'!$C$2:$E$91,3,FALSE()), "")</f>
        <v/>
      </c>
      <c r="AK27" s="65" t="str">
        <f>IFERROR(VLOOKUP(AK26,'Projets entreprise'!$C$2:$E$91,3,FALSE()), "")</f>
        <v/>
      </c>
      <c r="AL27" s="65" t="str">
        <f>IFERROR(VLOOKUP(AL26,'Projets entreprise'!$C$2:$E$91,3,FALSE()), "")</f>
        <v/>
      </c>
      <c r="AM27" s="65" t="str">
        <f>IFERROR(VLOOKUP(AM26,'Projets entreprise'!$C$2:$E$91,3,FALSE()), "")</f>
        <v/>
      </c>
      <c r="AN27" s="65" t="str">
        <f>IFERROR(VLOOKUP(AN26,'Projets entreprise'!$C$2:$E$91,3,FALSE()), "")</f>
        <v/>
      </c>
      <c r="AO27" s="65" t="str">
        <f>IFERROR(VLOOKUP(AO26,'Projets entreprise'!$C$2:$E$91,3,FALSE()), "")</f>
        <v/>
      </c>
      <c r="AP27" s="65" t="str">
        <f>IFERROR(VLOOKUP(AP26,'Projets entreprise'!$C$2:$E$91,3,FALSE()), "")</f>
        <v/>
      </c>
      <c r="AQ27" s="65" t="str">
        <f>IFERROR(VLOOKUP(AQ26,'Projets entreprise'!$C$2:$E$91,3,FALSE()), "")</f>
        <v/>
      </c>
      <c r="AR27" s="66" t="str">
        <f>IFERROR(VLOOKUP(AR26,'Projets entreprise'!$C$2:$E$91,3,FALSE()), "")</f>
        <v/>
      </c>
      <c r="AS27" s="86">
        <f>IFERROR(AVERAGE(V27:AR27), "")</f>
        <v>0</v>
      </c>
    </row>
    <row r="28" spans="1:45" ht="15.6" customHeight="1">
      <c r="A28" s="96" t="s">
        <v>151</v>
      </c>
      <c r="B28" s="97" t="s">
        <v>152</v>
      </c>
      <c r="C28" s="70">
        <v>231</v>
      </c>
      <c r="D28" s="71"/>
      <c r="E28" s="71"/>
      <c r="F28" s="71"/>
      <c r="G28" s="71"/>
      <c r="H28" s="71"/>
      <c r="I28" s="71"/>
      <c r="J28" s="71"/>
      <c r="K28" s="71"/>
      <c r="L28" s="71"/>
      <c r="M28" s="70">
        <v>106</v>
      </c>
      <c r="N28" s="71">
        <v>185</v>
      </c>
      <c r="O28" s="71">
        <v>210</v>
      </c>
      <c r="P28" s="71">
        <v>109</v>
      </c>
      <c r="Q28" s="71">
        <v>107</v>
      </c>
      <c r="R28" s="71">
        <v>159</v>
      </c>
      <c r="S28" s="71"/>
      <c r="T28" s="71"/>
      <c r="U28" s="77"/>
      <c r="V28" s="72" t="s">
        <v>104</v>
      </c>
      <c r="W28" s="83"/>
      <c r="X28" s="83"/>
      <c r="Y28" s="83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73"/>
      <c r="AS28" s="85"/>
    </row>
    <row r="29" spans="1:45">
      <c r="A29" s="96"/>
      <c r="B29" s="97"/>
      <c r="C29" s="74">
        <f>IFERROR(VLOOKUP(C28,'Modules informatiques'!$A$2:$D$50,4,FALSE()), "")</f>
        <v>0</v>
      </c>
      <c r="D29" s="75" t="str">
        <f>IFERROR(VLOOKUP(D28,'Modules informatiques'!$A$2:$D$50,4,FALSE()), "")</f>
        <v/>
      </c>
      <c r="E29" s="75" t="str">
        <f>IFERROR(VLOOKUP(E28,'Modules informatiques'!$A$2:$D$50,4,FALSE()), "")</f>
        <v/>
      </c>
      <c r="F29" s="75" t="str">
        <f>IFERROR(VLOOKUP(F28,'Modules informatiques'!$A$2:$D$50,4,FALSE()), "")</f>
        <v/>
      </c>
      <c r="G29" s="75" t="str">
        <f>IFERROR(VLOOKUP(G28,'Modules informatiques'!$A$2:$D$50,4,FALSE()), "")</f>
        <v/>
      </c>
      <c r="H29" s="75" t="str">
        <f>IFERROR(VLOOKUP(H28,'Modules informatiques'!$A$2:$D$50,4,FALSE()), "")</f>
        <v/>
      </c>
      <c r="I29" s="75" t="str">
        <f>IFERROR(VLOOKUP(I28,'Modules informatiques'!$A$2:$D$50,4,FALSE()), "")</f>
        <v/>
      </c>
      <c r="J29" s="75" t="str">
        <f>IFERROR(VLOOKUP(J28,'Modules informatiques'!$A$2:$D$50,4,FALSE()), "")</f>
        <v/>
      </c>
      <c r="K29" s="75" t="str">
        <f>IFERROR(VLOOKUP(K28,'Modules informatiques'!$A$2:$D$50,4,FALSE()), "")</f>
        <v/>
      </c>
      <c r="L29" s="75" t="str">
        <f>IFERROR(VLOOKUP(L28,'Modules informatiques'!$A$2:$D$50,4,FALSE()), "")</f>
        <v/>
      </c>
      <c r="M29" s="74">
        <f>IFERROR(VLOOKUP(M28,'Modules informatiques'!$A$2:$D$50,4,FALSE()), "")</f>
        <v>0</v>
      </c>
      <c r="N29" s="75">
        <f>IFERROR(VLOOKUP(N28,'Modules informatiques'!$A$2:$D$50,4,FALSE()), "")</f>
        <v>0</v>
      </c>
      <c r="O29" s="75">
        <f>IFERROR(VLOOKUP(O28,'Modules informatiques'!$A$2:$D$50,4,FALSE()), "")</f>
        <v>0</v>
      </c>
      <c r="P29" s="75">
        <f>IFERROR(VLOOKUP(P28,'Modules informatiques'!$A$2:$D$50,4,FALSE()), "")</f>
        <v>0</v>
      </c>
      <c r="Q29" s="75">
        <f>IFERROR(VLOOKUP(Q28,'Modules informatiques'!$A$2:$D$50,4,FALSE()), "")</f>
        <v>0</v>
      </c>
      <c r="R29" s="75" t="str">
        <f>IFERROR(VLOOKUP(R28,'Modules informatiques'!$A$2:$D$50,4,FALSE()), "")</f>
        <v/>
      </c>
      <c r="S29" s="75" t="str">
        <f>IFERROR(VLOOKUP(S28,'Modules informatiques'!$A$2:$D$50,4,FALSE()), "")</f>
        <v/>
      </c>
      <c r="T29" s="75" t="str">
        <f>IFERROR(VLOOKUP(T28,'Modules informatiques'!$A$2:$D$50,4,FALSE()), "")</f>
        <v/>
      </c>
      <c r="U29" s="78">
        <f>IFERROR(AVERAGE(C29:T29), "")</f>
        <v>0</v>
      </c>
      <c r="V29" s="74">
        <f>IFERROR(VLOOKUP(V28,'Projets entreprise'!$C$2:$E$91,3,FALSE()), "")</f>
        <v>0</v>
      </c>
      <c r="W29" s="75" t="str">
        <f>IFERROR(VLOOKUP(W28,'Projets entreprise'!$C$2:$E$91,3,FALSE()), "")</f>
        <v/>
      </c>
      <c r="X29" s="75" t="str">
        <f>IFERROR(VLOOKUP(X28,'Projets entreprise'!$C$2:$E$91,3,FALSE()), "")</f>
        <v/>
      </c>
      <c r="Y29" s="75" t="str">
        <f>IFERROR(VLOOKUP(Y28,'Projets entreprise'!$C$2:$E$91,3,FALSE()), "")</f>
        <v/>
      </c>
      <c r="Z29" s="75" t="str">
        <f>IFERROR(VLOOKUP(Z28,'Projets entreprise'!$C$2:$E$91,3,FALSE()), "")</f>
        <v/>
      </c>
      <c r="AA29" s="75" t="str">
        <f>IFERROR(VLOOKUP(AA28,'Projets entreprise'!$C$2:$E$91,3,FALSE()), "")</f>
        <v/>
      </c>
      <c r="AB29" s="75" t="str">
        <f>IFERROR(VLOOKUP(AB28,'Projets entreprise'!$C$2:$E$91,3,FALSE()), "")</f>
        <v/>
      </c>
      <c r="AC29" s="75" t="str">
        <f>IFERROR(VLOOKUP(AC28,'Projets entreprise'!$C$2:$E$91,3,FALSE()), "")</f>
        <v/>
      </c>
      <c r="AD29" s="75" t="str">
        <f>IFERROR(VLOOKUP(AD28,'Projets entreprise'!$C$2:$E$91,3,FALSE()), "")</f>
        <v/>
      </c>
      <c r="AE29" s="75" t="str">
        <f>IFERROR(VLOOKUP(AE28,'Projets entreprise'!$C$2:$E$91,3,FALSE()), "")</f>
        <v/>
      </c>
      <c r="AF29" s="75" t="str">
        <f>IFERROR(VLOOKUP(AF28,'Projets entreprise'!$C$2:$E$91,3,FALSE()), "")</f>
        <v/>
      </c>
      <c r="AG29" s="75" t="str">
        <f>IFERROR(VLOOKUP(AG28,'Projets entreprise'!$C$2:$E$91,3,FALSE()), "")</f>
        <v/>
      </c>
      <c r="AH29" s="75" t="str">
        <f>IFERROR(VLOOKUP(AH28,'Projets entreprise'!$C$2:$E$91,3,FALSE()), "")</f>
        <v/>
      </c>
      <c r="AI29" s="75" t="str">
        <f>IFERROR(VLOOKUP(AI28,'Projets entreprise'!$C$2:$E$91,3,FALSE()), "")</f>
        <v/>
      </c>
      <c r="AJ29" s="75" t="str">
        <f>IFERROR(VLOOKUP(AJ28,'Projets entreprise'!$C$2:$E$91,3,FALSE()), "")</f>
        <v/>
      </c>
      <c r="AK29" s="75" t="str">
        <f>IFERROR(VLOOKUP(AK28,'Projets entreprise'!$C$2:$E$91,3,FALSE()), "")</f>
        <v/>
      </c>
      <c r="AL29" s="75" t="str">
        <f>IFERROR(VLOOKUP(AL28,'Projets entreprise'!$C$2:$E$91,3,FALSE()), "")</f>
        <v/>
      </c>
      <c r="AM29" s="75" t="str">
        <f>IFERROR(VLOOKUP(AM28,'Projets entreprise'!$C$2:$E$91,3,FALSE()), "")</f>
        <v/>
      </c>
      <c r="AN29" s="75" t="str">
        <f>IFERROR(VLOOKUP(AN28,'Projets entreprise'!$C$2:$E$91,3,FALSE()), "")</f>
        <v/>
      </c>
      <c r="AO29" s="75" t="str">
        <f>IFERROR(VLOOKUP(AO28,'Projets entreprise'!$C$2:$E$91,3,FALSE()), "")</f>
        <v/>
      </c>
      <c r="AP29" s="75" t="str">
        <f>IFERROR(VLOOKUP(AP28,'Projets entreprise'!$C$2:$E$91,3,FALSE()), "")</f>
        <v/>
      </c>
      <c r="AQ29" s="75" t="str">
        <f>IFERROR(VLOOKUP(AQ28,'Projets entreprise'!$C$2:$E$91,3,FALSE()), "")</f>
        <v/>
      </c>
      <c r="AR29" s="76" t="str">
        <f>IFERROR(VLOOKUP(AR28,'Projets entreprise'!$C$2:$E$91,3,FALSE()), "")</f>
        <v/>
      </c>
      <c r="AS29" s="86">
        <f>IFERROR(AVERAGE(V29:AR29), "")</f>
        <v>0</v>
      </c>
    </row>
    <row r="30" spans="1:45" ht="15.6" customHeight="1">
      <c r="A30" s="94" t="s">
        <v>153</v>
      </c>
      <c r="B30" s="95" t="s">
        <v>154</v>
      </c>
      <c r="C30" s="54">
        <v>162</v>
      </c>
      <c r="D30" s="55"/>
      <c r="E30" s="55"/>
      <c r="F30" s="55"/>
      <c r="G30" s="55"/>
      <c r="H30" s="55"/>
      <c r="I30" s="55"/>
      <c r="J30" s="55"/>
      <c r="K30" s="55"/>
      <c r="L30" s="55"/>
      <c r="M30" s="54">
        <v>259</v>
      </c>
      <c r="N30" s="55">
        <v>110</v>
      </c>
      <c r="O30" s="55"/>
      <c r="P30" s="55"/>
      <c r="Q30" s="55"/>
      <c r="R30" s="55"/>
      <c r="S30" s="55"/>
      <c r="T30" s="55"/>
      <c r="U30" s="77"/>
      <c r="V30" s="56"/>
      <c r="AR30" s="63"/>
      <c r="AS30" s="85"/>
    </row>
    <row r="31" spans="1:45">
      <c r="A31" s="94"/>
      <c r="B31" s="95"/>
      <c r="C31" s="64">
        <f>IFERROR(VLOOKUP(C30,'Modules informatiques'!$A$2:$D$50,4,FALSE()), "")</f>
        <v>0</v>
      </c>
      <c r="D31" s="65" t="str">
        <f>IFERROR(VLOOKUP(D30,'Modules informatiques'!$A$2:$D$50,4,FALSE()), "")</f>
        <v/>
      </c>
      <c r="E31" s="65" t="str">
        <f>IFERROR(VLOOKUP(E30,'Modules informatiques'!$A$2:$D$50,4,FALSE()), "")</f>
        <v/>
      </c>
      <c r="F31" s="65" t="str">
        <f>IFERROR(VLOOKUP(F30,'Modules informatiques'!$A$2:$D$50,4,FALSE()), "")</f>
        <v/>
      </c>
      <c r="G31" s="65" t="str">
        <f>IFERROR(VLOOKUP(G30,'Modules informatiques'!$A$2:$D$50,4,FALSE()), "")</f>
        <v/>
      </c>
      <c r="H31" s="65" t="str">
        <f>IFERROR(VLOOKUP(H30,'Modules informatiques'!$A$2:$D$50,4,FALSE()), "")</f>
        <v/>
      </c>
      <c r="I31" s="65" t="str">
        <f>IFERROR(VLOOKUP(I30,'Modules informatiques'!$A$2:$D$50,4,FALSE()), "")</f>
        <v/>
      </c>
      <c r="J31" s="65" t="str">
        <f>IFERROR(VLOOKUP(J30,'Modules informatiques'!$A$2:$D$50,4,FALSE()), "")</f>
        <v/>
      </c>
      <c r="K31" s="65" t="str">
        <f>IFERROR(VLOOKUP(K30,'Modules informatiques'!$A$2:$D$50,4,FALSE()), "")</f>
        <v/>
      </c>
      <c r="L31" s="65" t="str">
        <f>IFERROR(VLOOKUP(L30,'Modules informatiques'!$A$2:$D$50,4,FALSE()), "")</f>
        <v/>
      </c>
      <c r="M31" s="64">
        <f>IFERROR(VLOOKUP(M30,'Modules informatiques'!$A$2:$D$50,4,FALSE()), "")</f>
        <v>0</v>
      </c>
      <c r="N31" s="65">
        <f>IFERROR(VLOOKUP(N30,'Modules informatiques'!$A$2:$D$50,4,FALSE()), "")</f>
        <v>0</v>
      </c>
      <c r="O31" s="65" t="str">
        <f>IFERROR(VLOOKUP(O30,'Modules informatiques'!$A$2:$D$50,4,FALSE()), "")</f>
        <v/>
      </c>
      <c r="P31" s="65" t="str">
        <f>IFERROR(VLOOKUP(P30,'Modules informatiques'!$A$2:$D$50,4,FALSE()), "")</f>
        <v/>
      </c>
      <c r="Q31" s="65" t="str">
        <f>IFERROR(VLOOKUP(Q30,'Modules informatiques'!$A$2:$D$50,4,FALSE()), "")</f>
        <v/>
      </c>
      <c r="R31" s="65" t="str">
        <f>IFERROR(VLOOKUP(R30,'Modules informatiques'!$A$2:$D$50,4,FALSE()), "")</f>
        <v/>
      </c>
      <c r="S31" s="65" t="str">
        <f>IFERROR(VLOOKUP(S30,'Modules informatiques'!$A$2:$D$50,4,FALSE()), "")</f>
        <v/>
      </c>
      <c r="T31" s="65" t="str">
        <f>IFERROR(VLOOKUP(T30,'Modules informatiques'!$A$2:$D$50,4,FALSE()), "")</f>
        <v/>
      </c>
      <c r="U31" s="78">
        <f>IFERROR(AVERAGE(C31:T31), "")</f>
        <v>0</v>
      </c>
      <c r="V31" s="64" t="str">
        <f>IFERROR(VLOOKUP(V30,'Projets entreprise'!$C$2:$E$91,3,FALSE()), "")</f>
        <v/>
      </c>
      <c r="W31" s="65" t="str">
        <f>IFERROR(VLOOKUP(W30,'Projets entreprise'!$C$2:$E$91,3,FALSE()), "")</f>
        <v/>
      </c>
      <c r="X31" s="65" t="str">
        <f>IFERROR(VLOOKUP(X30,'Projets entreprise'!$C$2:$E$91,3,FALSE()), "")</f>
        <v/>
      </c>
      <c r="Y31" s="65" t="str">
        <f>IFERROR(VLOOKUP(Y30,'Projets entreprise'!$C$2:$E$91,3,FALSE()), "")</f>
        <v/>
      </c>
      <c r="Z31" s="65" t="str">
        <f>IFERROR(VLOOKUP(Z30,'Projets entreprise'!$C$2:$E$91,3,FALSE()), "")</f>
        <v/>
      </c>
      <c r="AA31" s="65" t="str">
        <f>IFERROR(VLOOKUP(AA30,'Projets entreprise'!$C$2:$E$91,3,FALSE()), "")</f>
        <v/>
      </c>
      <c r="AB31" s="65" t="str">
        <f>IFERROR(VLOOKUP(AB30,'Projets entreprise'!$C$2:$E$91,3,FALSE()), "")</f>
        <v/>
      </c>
      <c r="AC31" s="65" t="str">
        <f>IFERROR(VLOOKUP(AC30,'Projets entreprise'!$C$2:$E$91,3,FALSE()), "")</f>
        <v/>
      </c>
      <c r="AD31" s="65" t="str">
        <f>IFERROR(VLOOKUP(AD30,'Projets entreprise'!$C$2:$E$91,3,FALSE()), "")</f>
        <v/>
      </c>
      <c r="AE31" s="65" t="str">
        <f>IFERROR(VLOOKUP(AE30,'Projets entreprise'!$C$2:$E$91,3,FALSE()), "")</f>
        <v/>
      </c>
      <c r="AF31" s="65" t="str">
        <f>IFERROR(VLOOKUP(AF30,'Projets entreprise'!$C$2:$E$91,3,FALSE()), "")</f>
        <v/>
      </c>
      <c r="AG31" s="65" t="str">
        <f>IFERROR(VLOOKUP(AG30,'Projets entreprise'!$C$2:$E$91,3,FALSE()), "")</f>
        <v/>
      </c>
      <c r="AH31" s="65" t="str">
        <f>IFERROR(VLOOKUP(AH30,'Projets entreprise'!$C$2:$E$91,3,FALSE()), "")</f>
        <v/>
      </c>
      <c r="AI31" s="65" t="str">
        <f>IFERROR(VLOOKUP(AI30,'Projets entreprise'!$C$2:$E$91,3,FALSE()), "")</f>
        <v/>
      </c>
      <c r="AJ31" s="65" t="str">
        <f>IFERROR(VLOOKUP(AJ30,'Projets entreprise'!$C$2:$E$91,3,FALSE()), "")</f>
        <v/>
      </c>
      <c r="AK31" s="65" t="str">
        <f>IFERROR(VLOOKUP(AK30,'Projets entreprise'!$C$2:$E$91,3,FALSE()), "")</f>
        <v/>
      </c>
      <c r="AL31" s="65" t="str">
        <f>IFERROR(VLOOKUP(AL30,'Projets entreprise'!$C$2:$E$91,3,FALSE()), "")</f>
        <v/>
      </c>
      <c r="AM31" s="65" t="str">
        <f>IFERROR(VLOOKUP(AM30,'Projets entreprise'!$C$2:$E$91,3,FALSE()), "")</f>
        <v/>
      </c>
      <c r="AN31" s="65" t="str">
        <f>IFERROR(VLOOKUP(AN30,'Projets entreprise'!$C$2:$E$91,3,FALSE()), "")</f>
        <v/>
      </c>
      <c r="AO31" s="65" t="str">
        <f>IFERROR(VLOOKUP(AO30,'Projets entreprise'!$C$2:$E$91,3,FALSE()), "")</f>
        <v/>
      </c>
      <c r="AP31" s="65" t="str">
        <f>IFERROR(VLOOKUP(AP30,'Projets entreprise'!$C$2:$E$91,3,FALSE()), "")</f>
        <v/>
      </c>
      <c r="AQ31" s="65" t="str">
        <f>IFERROR(VLOOKUP(AQ30,'Projets entreprise'!$C$2:$E$91,3,FALSE()), "")</f>
        <v/>
      </c>
      <c r="AR31" s="66" t="str">
        <f>IFERROR(VLOOKUP(AR30,'Projets entreprise'!$C$2:$E$91,3,FALSE()), "")</f>
        <v/>
      </c>
      <c r="AS31" s="86" t="str">
        <f>IFERROR(AVERAGE(V31:AR31), "")</f>
        <v/>
      </c>
    </row>
    <row r="32" spans="1:45" ht="15.6" customHeight="1">
      <c r="A32" s="96" t="s">
        <v>155</v>
      </c>
      <c r="B32" s="97" t="s">
        <v>156</v>
      </c>
      <c r="C32" s="70">
        <v>332</v>
      </c>
      <c r="D32" s="71">
        <v>254</v>
      </c>
      <c r="E32" s="71">
        <v>426</v>
      </c>
      <c r="F32" s="71">
        <v>162</v>
      </c>
      <c r="G32" s="71">
        <v>164</v>
      </c>
      <c r="H32" s="71">
        <v>321</v>
      </c>
      <c r="I32" s="71">
        <v>346</v>
      </c>
      <c r="J32" s="71">
        <v>324</v>
      </c>
      <c r="K32" s="71"/>
      <c r="L32" s="71"/>
      <c r="M32" s="70"/>
      <c r="N32" s="71"/>
      <c r="O32" s="71"/>
      <c r="P32" s="71"/>
      <c r="Q32" s="71"/>
      <c r="R32" s="71"/>
      <c r="S32" s="71"/>
      <c r="T32" s="71"/>
      <c r="U32" s="77"/>
      <c r="V32" s="72" t="s">
        <v>98</v>
      </c>
      <c r="W32" s="83" t="s">
        <v>112</v>
      </c>
      <c r="X32" s="83"/>
      <c r="Y32" s="83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73"/>
      <c r="AS32" s="85"/>
    </row>
    <row r="33" spans="1:45">
      <c r="A33" s="96"/>
      <c r="B33" s="97"/>
      <c r="C33" s="74">
        <f>IFERROR(VLOOKUP(C32,'Modules informatiques'!$A$2:$D$50,4,FALSE()), "")</f>
        <v>0</v>
      </c>
      <c r="D33" s="75">
        <f>IFERROR(VLOOKUP(D32,'Modules informatiques'!$A$2:$D$50,4,FALSE()), "")</f>
        <v>0</v>
      </c>
      <c r="E33" s="75">
        <f>IFERROR(VLOOKUP(E32,'Modules informatiques'!$A$2:$D$50,4,FALSE()), "")</f>
        <v>0</v>
      </c>
      <c r="F33" s="75">
        <f>IFERROR(VLOOKUP(F32,'Modules informatiques'!$A$2:$D$50,4,FALSE()), "")</f>
        <v>0</v>
      </c>
      <c r="G33" s="75">
        <f>IFERROR(VLOOKUP(G32,'Modules informatiques'!$A$2:$D$50,4,FALSE()), "")</f>
        <v>0</v>
      </c>
      <c r="H33" s="75">
        <f>IFERROR(VLOOKUP(H32,'Modules informatiques'!$A$2:$D$50,4,FALSE()), "")</f>
        <v>0</v>
      </c>
      <c r="I33" s="75">
        <f>IFERROR(VLOOKUP(I32,'Modules informatiques'!$A$2:$D$50,4,FALSE()), "")</f>
        <v>0</v>
      </c>
      <c r="J33" s="75">
        <f>IFERROR(VLOOKUP(J32,'Modules informatiques'!$A$2:$D$50,4,FALSE()), "")</f>
        <v>0</v>
      </c>
      <c r="K33" s="75" t="str">
        <f>IFERROR(VLOOKUP(K32,'Modules informatiques'!$A$2:$D$50,4,FALSE()), "")</f>
        <v/>
      </c>
      <c r="L33" s="75" t="str">
        <f>IFERROR(VLOOKUP(L32,'Modules informatiques'!$A$2:$D$50,4,FALSE()), "")</f>
        <v/>
      </c>
      <c r="M33" s="74" t="str">
        <f>IFERROR(VLOOKUP(M32,'Modules informatiques'!$A$2:$D$50,4,FALSE()), "")</f>
        <v/>
      </c>
      <c r="N33" s="75" t="str">
        <f>IFERROR(VLOOKUP(N32,'Modules informatiques'!$A$2:$D$50,4,FALSE()), "")</f>
        <v/>
      </c>
      <c r="O33" s="75" t="str">
        <f>IFERROR(VLOOKUP(O32,'Modules informatiques'!$A$2:$D$50,4,FALSE()), "")</f>
        <v/>
      </c>
      <c r="P33" s="75" t="str">
        <f>IFERROR(VLOOKUP(P32,'Modules informatiques'!$A$2:$D$50,4,FALSE()), "")</f>
        <v/>
      </c>
      <c r="Q33" s="75" t="str">
        <f>IFERROR(VLOOKUP(Q32,'Modules informatiques'!$A$2:$D$50,4,FALSE()), "")</f>
        <v/>
      </c>
      <c r="R33" s="75" t="str">
        <f>IFERROR(VLOOKUP(R32,'Modules informatiques'!$A$2:$D$50,4,FALSE()), "")</f>
        <v/>
      </c>
      <c r="S33" s="75" t="str">
        <f>IFERROR(VLOOKUP(S32,'Modules informatiques'!$A$2:$D$50,4,FALSE()), "")</f>
        <v/>
      </c>
      <c r="T33" s="75" t="str">
        <f>IFERROR(VLOOKUP(T32,'Modules informatiques'!$A$2:$D$50,4,FALSE()), "")</f>
        <v/>
      </c>
      <c r="U33" s="78">
        <f>IFERROR(AVERAGE(C33:T33), "")</f>
        <v>0</v>
      </c>
      <c r="V33" s="74">
        <f>IFERROR(VLOOKUP(V32,'Projets entreprise'!$C$2:$E$91,3,FALSE()), "")</f>
        <v>0</v>
      </c>
      <c r="W33" s="75">
        <f>IFERROR(VLOOKUP(W32,'Projets entreprise'!$C$2:$E$91,3,FALSE()), "")</f>
        <v>0</v>
      </c>
      <c r="X33" s="75" t="str">
        <f>IFERROR(VLOOKUP(X32,'Projets entreprise'!$C$2:$E$91,3,FALSE()), "")</f>
        <v/>
      </c>
      <c r="Y33" s="75" t="str">
        <f>IFERROR(VLOOKUP(Y32,'Projets entreprise'!$C$2:$E$91,3,FALSE()), "")</f>
        <v/>
      </c>
      <c r="Z33" s="75" t="str">
        <f>IFERROR(VLOOKUP(Z32,'Projets entreprise'!$C$2:$E$91,3,FALSE()), "")</f>
        <v/>
      </c>
      <c r="AA33" s="75" t="str">
        <f>IFERROR(VLOOKUP(AA32,'Projets entreprise'!$C$2:$E$91,3,FALSE()), "")</f>
        <v/>
      </c>
      <c r="AB33" s="75" t="str">
        <f>IFERROR(VLOOKUP(AB32,'Projets entreprise'!$C$2:$E$91,3,FALSE()), "")</f>
        <v/>
      </c>
      <c r="AC33" s="75" t="str">
        <f>IFERROR(VLOOKUP(AC32,'Projets entreprise'!$C$2:$E$91,3,FALSE()), "")</f>
        <v/>
      </c>
      <c r="AD33" s="75" t="str">
        <f>IFERROR(VLOOKUP(AD32,'Projets entreprise'!$C$2:$E$91,3,FALSE()), "")</f>
        <v/>
      </c>
      <c r="AE33" s="75" t="str">
        <f>IFERROR(VLOOKUP(AE32,'Projets entreprise'!$C$2:$E$91,3,FALSE()), "")</f>
        <v/>
      </c>
      <c r="AF33" s="75" t="str">
        <f>IFERROR(VLOOKUP(AF32,'Projets entreprise'!$C$2:$E$91,3,FALSE()), "")</f>
        <v/>
      </c>
      <c r="AG33" s="75" t="str">
        <f>IFERROR(VLOOKUP(AG32,'Projets entreprise'!$C$2:$E$91,3,FALSE()), "")</f>
        <v/>
      </c>
      <c r="AH33" s="75" t="str">
        <f>IFERROR(VLOOKUP(AH32,'Projets entreprise'!$C$2:$E$91,3,FALSE()), "")</f>
        <v/>
      </c>
      <c r="AI33" s="75" t="str">
        <f>IFERROR(VLOOKUP(AI32,'Projets entreprise'!$C$2:$E$91,3,FALSE()), "")</f>
        <v/>
      </c>
      <c r="AJ33" s="75" t="str">
        <f>IFERROR(VLOOKUP(AJ32,'Projets entreprise'!$C$2:$E$91,3,FALSE()), "")</f>
        <v/>
      </c>
      <c r="AK33" s="75" t="str">
        <f>IFERROR(VLOOKUP(AK32,'Projets entreprise'!$C$2:$E$91,3,FALSE()), "")</f>
        <v/>
      </c>
      <c r="AL33" s="75" t="str">
        <f>IFERROR(VLOOKUP(AL32,'Projets entreprise'!$C$2:$E$91,3,FALSE()), "")</f>
        <v/>
      </c>
      <c r="AM33" s="75" t="str">
        <f>IFERROR(VLOOKUP(AM32,'Projets entreprise'!$C$2:$E$91,3,FALSE()), "")</f>
        <v/>
      </c>
      <c r="AN33" s="75" t="str">
        <f>IFERROR(VLOOKUP(AN32,'Projets entreprise'!$C$2:$E$91,3,FALSE()), "")</f>
        <v/>
      </c>
      <c r="AO33" s="75" t="str">
        <f>IFERROR(VLOOKUP(AO32,'Projets entreprise'!$C$2:$E$91,3,FALSE()), "")</f>
        <v/>
      </c>
      <c r="AP33" s="75" t="str">
        <f>IFERROR(VLOOKUP(AP32,'Projets entreprise'!$C$2:$E$91,3,FALSE()), "")</f>
        <v/>
      </c>
      <c r="AQ33" s="75" t="str">
        <f>IFERROR(VLOOKUP(AQ32,'Projets entreprise'!$C$2:$E$91,3,FALSE()), "")</f>
        <v/>
      </c>
      <c r="AR33" s="76" t="str">
        <f>IFERROR(VLOOKUP(AR32,'Projets entreprise'!$C$2:$E$91,3,FALSE()), "")</f>
        <v/>
      </c>
      <c r="AS33" s="86">
        <f>IFERROR(AVERAGE(V33:AR33), "")</f>
        <v>0</v>
      </c>
    </row>
    <row r="34" spans="1:45" ht="15.6" customHeight="1">
      <c r="A34" s="94" t="s">
        <v>157</v>
      </c>
      <c r="B34" s="95" t="s">
        <v>158</v>
      </c>
      <c r="C34" s="54">
        <v>322</v>
      </c>
      <c r="D34" s="55">
        <v>319</v>
      </c>
      <c r="E34" s="55">
        <v>320</v>
      </c>
      <c r="F34" s="55">
        <v>239</v>
      </c>
      <c r="G34" s="55"/>
      <c r="H34" s="55"/>
      <c r="I34" s="55"/>
      <c r="J34" s="55"/>
      <c r="K34" s="55"/>
      <c r="L34" s="55"/>
      <c r="M34" s="54">
        <v>294</v>
      </c>
      <c r="N34" s="55">
        <v>223</v>
      </c>
      <c r="O34" s="55">
        <v>335</v>
      </c>
      <c r="P34" s="55">
        <v>217</v>
      </c>
      <c r="Q34" s="55"/>
      <c r="R34" s="55"/>
      <c r="S34" s="55"/>
      <c r="T34" s="55"/>
      <c r="U34" s="77"/>
      <c r="V34" s="56" t="s">
        <v>92</v>
      </c>
      <c r="W34" s="51" t="s">
        <v>94</v>
      </c>
      <c r="X34" s="51" t="s">
        <v>104</v>
      </c>
      <c r="Y34" s="51" t="s">
        <v>110</v>
      </c>
      <c r="AR34" s="63"/>
      <c r="AS34" s="85"/>
    </row>
    <row r="35" spans="1:45">
      <c r="A35" s="94"/>
      <c r="B35" s="95"/>
      <c r="C35" s="64">
        <f>IFERROR(VLOOKUP(C34,'Modules informatiques'!$A$2:$D$50,4,FALSE()), "")</f>
        <v>0</v>
      </c>
      <c r="D35" s="65">
        <f>IFERROR(VLOOKUP(D34,'Modules informatiques'!$A$2:$D$50,4,FALSE()), "")</f>
        <v>0</v>
      </c>
      <c r="E35" s="65">
        <f>IFERROR(VLOOKUP(E34,'Modules informatiques'!$A$2:$D$50,4,FALSE()), "")</f>
        <v>0</v>
      </c>
      <c r="F35" s="65" t="str">
        <f>IFERROR(VLOOKUP(F34,'Modules informatiques'!$A$2:$D$50,4,FALSE()), "")</f>
        <v/>
      </c>
      <c r="G35" s="65" t="str">
        <f>IFERROR(VLOOKUP(G34,'Modules informatiques'!$A$2:$D$50,4,FALSE()), "")</f>
        <v/>
      </c>
      <c r="H35" s="65" t="str">
        <f>IFERROR(VLOOKUP(H34,'Modules informatiques'!$A$2:$D$50,4,FALSE()), "")</f>
        <v/>
      </c>
      <c r="I35" s="65" t="str">
        <f>IFERROR(VLOOKUP(I34,'Modules informatiques'!$A$2:$D$50,4,FALSE()), "")</f>
        <v/>
      </c>
      <c r="J35" s="65" t="str">
        <f>IFERROR(VLOOKUP(J34,'Modules informatiques'!$A$2:$D$50,4,FALSE()), "")</f>
        <v/>
      </c>
      <c r="K35" s="65" t="str">
        <f>IFERROR(VLOOKUP(K34,'Modules informatiques'!$A$2:$D$50,4,FALSE()), "")</f>
        <v/>
      </c>
      <c r="L35" s="65" t="str">
        <f>IFERROR(VLOOKUP(L34,'Modules informatiques'!$A$2:$D$50,4,FALSE()), "")</f>
        <v/>
      </c>
      <c r="M35" s="64">
        <f>IFERROR(VLOOKUP(M34,'Modules informatiques'!$A$2:$D$50,4,FALSE()), "")</f>
        <v>0</v>
      </c>
      <c r="N35" s="65">
        <f>IFERROR(VLOOKUP(N34,'Modules informatiques'!$A$2:$D$50,4,FALSE()), "")</f>
        <v>0</v>
      </c>
      <c r="O35" s="65">
        <f>IFERROR(VLOOKUP(O34,'Modules informatiques'!$A$2:$D$50,4,FALSE()), "")</f>
        <v>0</v>
      </c>
      <c r="P35" s="65">
        <f>IFERROR(VLOOKUP(P34,'Modules informatiques'!$A$2:$D$50,4,FALSE()), "")</f>
        <v>0</v>
      </c>
      <c r="Q35" s="65" t="str">
        <f>IFERROR(VLOOKUP(Q34,'Modules informatiques'!$A$2:$D$50,4,FALSE()), "")</f>
        <v/>
      </c>
      <c r="R35" s="65" t="str">
        <f>IFERROR(VLOOKUP(R34,'Modules informatiques'!$A$2:$D$50,4,FALSE()), "")</f>
        <v/>
      </c>
      <c r="S35" s="65" t="str">
        <f>IFERROR(VLOOKUP(S34,'Modules informatiques'!$A$2:$D$50,4,FALSE()), "")</f>
        <v/>
      </c>
      <c r="T35" s="65" t="str">
        <f>IFERROR(VLOOKUP(T34,'Modules informatiques'!$A$2:$D$50,4,FALSE()), "")</f>
        <v/>
      </c>
      <c r="U35" s="78">
        <f>IFERROR(AVERAGE(C35:T35), "")</f>
        <v>0</v>
      </c>
      <c r="V35" s="64">
        <f>IFERROR(VLOOKUP(V34,'Projets entreprise'!$C$2:$E$91,3,FALSE()), "")</f>
        <v>0</v>
      </c>
      <c r="W35" s="65">
        <f>IFERROR(VLOOKUP(W34,'Projets entreprise'!$C$2:$E$91,3,FALSE()), "")</f>
        <v>0</v>
      </c>
      <c r="X35" s="65">
        <f>IFERROR(VLOOKUP(X34,'Projets entreprise'!$C$2:$E$91,3,FALSE()), "")</f>
        <v>0</v>
      </c>
      <c r="Y35" s="65">
        <f>IFERROR(VLOOKUP(Y34,'Projets entreprise'!$C$2:$E$91,3,FALSE()), "")</f>
        <v>0</v>
      </c>
      <c r="Z35" s="65" t="str">
        <f>IFERROR(VLOOKUP(Z34,'Projets entreprise'!$C$2:$E$91,3,FALSE()), "")</f>
        <v/>
      </c>
      <c r="AA35" s="65" t="str">
        <f>IFERROR(VLOOKUP(AA34,'Projets entreprise'!$C$2:$E$91,3,FALSE()), "")</f>
        <v/>
      </c>
      <c r="AB35" s="65" t="str">
        <f>IFERROR(VLOOKUP(AB34,'Projets entreprise'!$C$2:$E$91,3,FALSE()), "")</f>
        <v/>
      </c>
      <c r="AC35" s="65" t="str">
        <f>IFERROR(VLOOKUP(AC34,'Projets entreprise'!$C$2:$E$91,3,FALSE()), "")</f>
        <v/>
      </c>
      <c r="AD35" s="65" t="str">
        <f>IFERROR(VLOOKUP(AD34,'Projets entreprise'!$C$2:$E$91,3,FALSE()), "")</f>
        <v/>
      </c>
      <c r="AE35" s="65" t="str">
        <f>IFERROR(VLOOKUP(AE34,'Projets entreprise'!$C$2:$E$91,3,FALSE()), "")</f>
        <v/>
      </c>
      <c r="AF35" s="65" t="str">
        <f>IFERROR(VLOOKUP(AF34,'Projets entreprise'!$C$2:$E$91,3,FALSE()), "")</f>
        <v/>
      </c>
      <c r="AG35" s="65" t="str">
        <f>IFERROR(VLOOKUP(AG34,'Projets entreprise'!$C$2:$E$91,3,FALSE()), "")</f>
        <v/>
      </c>
      <c r="AH35" s="65" t="str">
        <f>IFERROR(VLOOKUP(AH34,'Projets entreprise'!$C$2:$E$91,3,FALSE()), "")</f>
        <v/>
      </c>
      <c r="AI35" s="65" t="str">
        <f>IFERROR(VLOOKUP(AI34,'Projets entreprise'!$C$2:$E$91,3,FALSE()), "")</f>
        <v/>
      </c>
      <c r="AJ35" s="65" t="str">
        <f>IFERROR(VLOOKUP(AJ34,'Projets entreprise'!$C$2:$E$91,3,FALSE()), "")</f>
        <v/>
      </c>
      <c r="AK35" s="65" t="str">
        <f>IFERROR(VLOOKUP(AK34,'Projets entreprise'!$C$2:$E$91,3,FALSE()), "")</f>
        <v/>
      </c>
      <c r="AL35" s="65" t="str">
        <f>IFERROR(VLOOKUP(AL34,'Projets entreprise'!$C$2:$E$91,3,FALSE()), "")</f>
        <v/>
      </c>
      <c r="AM35" s="65" t="str">
        <f>IFERROR(VLOOKUP(AM34,'Projets entreprise'!$C$2:$E$91,3,FALSE()), "")</f>
        <v/>
      </c>
      <c r="AN35" s="65" t="str">
        <f>IFERROR(VLOOKUP(AN34,'Projets entreprise'!$C$2:$E$91,3,FALSE()), "")</f>
        <v/>
      </c>
      <c r="AO35" s="65" t="str">
        <f>IFERROR(VLOOKUP(AO34,'Projets entreprise'!$C$2:$E$91,3,FALSE()), "")</f>
        <v/>
      </c>
      <c r="AP35" s="65" t="str">
        <f>IFERROR(VLOOKUP(AP34,'Projets entreprise'!$C$2:$E$91,3,FALSE()), "")</f>
        <v/>
      </c>
      <c r="AQ35" s="65" t="str">
        <f>IFERROR(VLOOKUP(AQ34,'Projets entreprise'!$C$2:$E$91,3,FALSE()), "")</f>
        <v/>
      </c>
      <c r="AR35" s="66" t="str">
        <f>IFERROR(VLOOKUP(AR34,'Projets entreprise'!$C$2:$E$91,3,FALSE()), "")</f>
        <v/>
      </c>
      <c r="AS35" s="86">
        <f>IFERROR(AVERAGE(V35:AR35), "")</f>
        <v>0</v>
      </c>
    </row>
    <row r="36" spans="1:45" ht="15.6" customHeight="1">
      <c r="A36" s="96" t="s">
        <v>159</v>
      </c>
      <c r="B36" s="97" t="s">
        <v>160</v>
      </c>
      <c r="C36" s="70">
        <v>183</v>
      </c>
      <c r="D36" s="71">
        <v>114</v>
      </c>
      <c r="E36" s="71">
        <v>450</v>
      </c>
      <c r="F36" s="71">
        <v>346</v>
      </c>
      <c r="G36" s="71"/>
      <c r="H36" s="71"/>
      <c r="I36" s="71"/>
      <c r="J36" s="71"/>
      <c r="K36" s="71"/>
      <c r="L36" s="71"/>
      <c r="M36" s="70">
        <v>295</v>
      </c>
      <c r="N36" s="71">
        <v>216</v>
      </c>
      <c r="O36" s="71">
        <v>217</v>
      </c>
      <c r="P36" s="71">
        <v>107</v>
      </c>
      <c r="Q36" s="71"/>
      <c r="R36" s="71"/>
      <c r="S36" s="71"/>
      <c r="T36" s="71"/>
      <c r="U36" s="77"/>
      <c r="V36" s="72" t="s">
        <v>104</v>
      </c>
      <c r="W36" s="83" t="s">
        <v>110</v>
      </c>
      <c r="X36" s="83"/>
      <c r="Y36" s="83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73"/>
      <c r="AS36" s="85"/>
    </row>
    <row r="37" spans="1:45">
      <c r="A37" s="96"/>
      <c r="B37" s="97"/>
      <c r="C37" s="74">
        <f>IFERROR(VLOOKUP(C36,'Modules informatiques'!$A$2:$D$50,4,FALSE()), "")</f>
        <v>0</v>
      </c>
      <c r="D37" s="75">
        <f>IFERROR(VLOOKUP(D36,'Modules informatiques'!$A$2:$D$50,4,FALSE()), "")</f>
        <v>0</v>
      </c>
      <c r="E37" s="75">
        <f>IFERROR(VLOOKUP(E36,'Modules informatiques'!$A$2:$D$50,4,FALSE()), "")</f>
        <v>0</v>
      </c>
      <c r="F37" s="75">
        <f>IFERROR(VLOOKUP(F36,'Modules informatiques'!$A$2:$D$50,4,FALSE()), "")</f>
        <v>0</v>
      </c>
      <c r="G37" s="75" t="str">
        <f>IFERROR(VLOOKUP(G36,'Modules informatiques'!$A$2:$D$50,4,FALSE()), "")</f>
        <v/>
      </c>
      <c r="H37" s="75" t="str">
        <f>IFERROR(VLOOKUP(H36,'Modules informatiques'!$A$2:$D$50,4,FALSE()), "")</f>
        <v/>
      </c>
      <c r="I37" s="75" t="str">
        <f>IFERROR(VLOOKUP(I36,'Modules informatiques'!$A$2:$D$50,4,FALSE()), "")</f>
        <v/>
      </c>
      <c r="J37" s="75" t="str">
        <f>IFERROR(VLOOKUP(J36,'Modules informatiques'!$A$2:$D$50,4,FALSE()), "")</f>
        <v/>
      </c>
      <c r="K37" s="75" t="str">
        <f>IFERROR(VLOOKUP(K36,'Modules informatiques'!$A$2:$D$50,4,FALSE()), "")</f>
        <v/>
      </c>
      <c r="L37" s="75" t="str">
        <f>IFERROR(VLOOKUP(L36,'Modules informatiques'!$A$2:$D$50,4,FALSE()), "")</f>
        <v/>
      </c>
      <c r="M37" s="74">
        <f>IFERROR(VLOOKUP(M36,'Modules informatiques'!$A$2:$D$50,4,FALSE()), "")</f>
        <v>0</v>
      </c>
      <c r="N37" s="75">
        <f>IFERROR(VLOOKUP(N36,'Modules informatiques'!$A$2:$D$50,4,FALSE()), "")</f>
        <v>0</v>
      </c>
      <c r="O37" s="75">
        <f>IFERROR(VLOOKUP(O36,'Modules informatiques'!$A$2:$D$50,4,FALSE()), "")</f>
        <v>0</v>
      </c>
      <c r="P37" s="75">
        <f>IFERROR(VLOOKUP(P36,'Modules informatiques'!$A$2:$D$50,4,FALSE()), "")</f>
        <v>0</v>
      </c>
      <c r="Q37" s="75" t="str">
        <f>IFERROR(VLOOKUP(Q36,'Modules informatiques'!$A$2:$D$50,4,FALSE()), "")</f>
        <v/>
      </c>
      <c r="R37" s="75" t="str">
        <f>IFERROR(VLOOKUP(R36,'Modules informatiques'!$A$2:$D$50,4,FALSE()), "")</f>
        <v/>
      </c>
      <c r="S37" s="75" t="str">
        <f>IFERROR(VLOOKUP(S36,'Modules informatiques'!$A$2:$D$50,4,FALSE()), "")</f>
        <v/>
      </c>
      <c r="T37" s="75" t="str">
        <f>IFERROR(VLOOKUP(T36,'Modules informatiques'!$A$2:$D$50,4,FALSE()), "")</f>
        <v/>
      </c>
      <c r="U37" s="78">
        <f>IFERROR(AVERAGE(C37:T37), "")</f>
        <v>0</v>
      </c>
      <c r="V37" s="74">
        <f>IFERROR(VLOOKUP(V36,'Projets entreprise'!$C$2:$E$91,3,FALSE()), "")</f>
        <v>0</v>
      </c>
      <c r="W37" s="75">
        <f>IFERROR(VLOOKUP(W36,'Projets entreprise'!$C$2:$E$91,3,FALSE()), "")</f>
        <v>0</v>
      </c>
      <c r="X37" s="75" t="str">
        <f>IFERROR(VLOOKUP(X36,'Projets entreprise'!$C$2:$E$91,3,FALSE()), "")</f>
        <v/>
      </c>
      <c r="Y37" s="75" t="str">
        <f>IFERROR(VLOOKUP(Y36,'Projets entreprise'!$C$2:$E$91,3,FALSE()), "")</f>
        <v/>
      </c>
      <c r="Z37" s="75" t="str">
        <f>IFERROR(VLOOKUP(Z36,'Projets entreprise'!$C$2:$E$91,3,FALSE()), "")</f>
        <v/>
      </c>
      <c r="AA37" s="75" t="str">
        <f>IFERROR(VLOOKUP(AA36,'Projets entreprise'!$C$2:$E$91,3,FALSE()), "")</f>
        <v/>
      </c>
      <c r="AB37" s="75" t="str">
        <f>IFERROR(VLOOKUP(AB36,'Projets entreprise'!$C$2:$E$91,3,FALSE()), "")</f>
        <v/>
      </c>
      <c r="AC37" s="75" t="str">
        <f>IFERROR(VLOOKUP(AC36,'Projets entreprise'!$C$2:$E$91,3,FALSE()), "")</f>
        <v/>
      </c>
      <c r="AD37" s="75" t="str">
        <f>IFERROR(VLOOKUP(AD36,'Projets entreprise'!$C$2:$E$91,3,FALSE()), "")</f>
        <v/>
      </c>
      <c r="AE37" s="75" t="str">
        <f>IFERROR(VLOOKUP(AE36,'Projets entreprise'!$C$2:$E$91,3,FALSE()), "")</f>
        <v/>
      </c>
      <c r="AF37" s="75" t="str">
        <f>IFERROR(VLOOKUP(AF36,'Projets entreprise'!$C$2:$E$91,3,FALSE()), "")</f>
        <v/>
      </c>
      <c r="AG37" s="75" t="str">
        <f>IFERROR(VLOOKUP(AG36,'Projets entreprise'!$C$2:$E$91,3,FALSE()), "")</f>
        <v/>
      </c>
      <c r="AH37" s="75" t="str">
        <f>IFERROR(VLOOKUP(AH36,'Projets entreprise'!$C$2:$E$91,3,FALSE()), "")</f>
        <v/>
      </c>
      <c r="AI37" s="75" t="str">
        <f>IFERROR(VLOOKUP(AI36,'Projets entreprise'!$C$2:$E$91,3,FALSE()), "")</f>
        <v/>
      </c>
      <c r="AJ37" s="75" t="str">
        <f>IFERROR(VLOOKUP(AJ36,'Projets entreprise'!$C$2:$E$91,3,FALSE()), "")</f>
        <v/>
      </c>
      <c r="AK37" s="75" t="str">
        <f>IFERROR(VLOOKUP(AK36,'Projets entreprise'!$C$2:$E$91,3,FALSE()), "")</f>
        <v/>
      </c>
      <c r="AL37" s="75" t="str">
        <f>IFERROR(VLOOKUP(AL36,'Projets entreprise'!$C$2:$E$91,3,FALSE()), "")</f>
        <v/>
      </c>
      <c r="AM37" s="75" t="str">
        <f>IFERROR(VLOOKUP(AM36,'Projets entreprise'!$C$2:$E$91,3,FALSE()), "")</f>
        <v/>
      </c>
      <c r="AN37" s="75" t="str">
        <f>IFERROR(VLOOKUP(AN36,'Projets entreprise'!$C$2:$E$91,3,FALSE()), "")</f>
        <v/>
      </c>
      <c r="AO37" s="75" t="str">
        <f>IFERROR(VLOOKUP(AO36,'Projets entreprise'!$C$2:$E$91,3,FALSE()), "")</f>
        <v/>
      </c>
      <c r="AP37" s="75" t="str">
        <f>IFERROR(VLOOKUP(AP36,'Projets entreprise'!$C$2:$E$91,3,FALSE()), "")</f>
        <v/>
      </c>
      <c r="AQ37" s="75" t="str">
        <f>IFERROR(VLOOKUP(AQ36,'Projets entreprise'!$C$2:$E$91,3,FALSE()), "")</f>
        <v/>
      </c>
      <c r="AR37" s="76" t="str">
        <f>IFERROR(VLOOKUP(AR36,'Projets entreprise'!$C$2:$E$91,3,FALSE()), "")</f>
        <v/>
      </c>
      <c r="AS37" s="86">
        <f>IFERROR(AVERAGE(V37:AR37), "")</f>
        <v>0</v>
      </c>
    </row>
    <row r="38" spans="1:45" ht="15.6" customHeight="1">
      <c r="A38" s="94" t="s">
        <v>161</v>
      </c>
      <c r="B38" s="95" t="s">
        <v>162</v>
      </c>
      <c r="C38" s="54">
        <v>319</v>
      </c>
      <c r="D38" s="55">
        <v>320</v>
      </c>
      <c r="E38" s="55">
        <v>323</v>
      </c>
      <c r="F38" s="55">
        <v>164</v>
      </c>
      <c r="G38" s="55">
        <v>321</v>
      </c>
      <c r="H38" s="55">
        <v>346</v>
      </c>
      <c r="I38" s="55">
        <v>306</v>
      </c>
      <c r="J38" s="55"/>
      <c r="K38" s="55"/>
      <c r="L38" s="55"/>
      <c r="M38" s="54">
        <v>106</v>
      </c>
      <c r="N38" s="55">
        <v>223</v>
      </c>
      <c r="O38" s="55">
        <v>335</v>
      </c>
      <c r="P38" s="55">
        <v>259</v>
      </c>
      <c r="Q38" s="55">
        <v>216</v>
      </c>
      <c r="R38" s="55">
        <v>217</v>
      </c>
      <c r="S38" s="55">
        <v>210</v>
      </c>
      <c r="T38" s="55">
        <v>107</v>
      </c>
      <c r="U38" s="77"/>
      <c r="V38" s="56" t="s">
        <v>96</v>
      </c>
      <c r="W38" s="51" t="s">
        <v>114</v>
      </c>
      <c r="AR38" s="63"/>
      <c r="AS38" s="85"/>
    </row>
    <row r="39" spans="1:45">
      <c r="A39" s="94"/>
      <c r="B39" s="95"/>
      <c r="C39" s="64">
        <f>IFERROR(VLOOKUP(C38,'Modules informatiques'!$A$2:$D$50,4,FALSE()), "")</f>
        <v>0</v>
      </c>
      <c r="D39" s="65">
        <f>IFERROR(VLOOKUP(D38,'Modules informatiques'!$A$2:$D$50,4,FALSE()), "")</f>
        <v>0</v>
      </c>
      <c r="E39" s="65">
        <f>IFERROR(VLOOKUP(E38,'Modules informatiques'!$A$2:$D$50,4,FALSE()), "")</f>
        <v>0</v>
      </c>
      <c r="F39" s="65">
        <f>IFERROR(VLOOKUP(F38,'Modules informatiques'!$A$2:$D$50,4,FALSE()), "")</f>
        <v>0</v>
      </c>
      <c r="G39" s="65">
        <f>IFERROR(VLOOKUP(G38,'Modules informatiques'!$A$2:$D$50,4,FALSE()), "")</f>
        <v>0</v>
      </c>
      <c r="H39" s="65">
        <f>IFERROR(VLOOKUP(H38,'Modules informatiques'!$A$2:$D$50,4,FALSE()), "")</f>
        <v>0</v>
      </c>
      <c r="I39" s="65">
        <f>IFERROR(VLOOKUP(I38,'Modules informatiques'!$A$2:$D$50,4,FALSE()), "")</f>
        <v>0</v>
      </c>
      <c r="J39" s="65" t="str">
        <f>IFERROR(VLOOKUP(J38,'Modules informatiques'!$A$2:$D$50,4,FALSE()), "")</f>
        <v/>
      </c>
      <c r="K39" s="65" t="str">
        <f>IFERROR(VLOOKUP(K38,'Modules informatiques'!$A$2:$D$50,4,FALSE()), "")</f>
        <v/>
      </c>
      <c r="L39" s="65" t="str">
        <f>IFERROR(VLOOKUP(L38,'Modules informatiques'!$A$2:$D$50,4,FALSE()), "")</f>
        <v/>
      </c>
      <c r="M39" s="64">
        <f>IFERROR(VLOOKUP(M38,'Modules informatiques'!$A$2:$D$50,4,FALSE()), "")</f>
        <v>0</v>
      </c>
      <c r="N39" s="65">
        <f>IFERROR(VLOOKUP(N38,'Modules informatiques'!$A$2:$D$50,4,FALSE()), "")</f>
        <v>0</v>
      </c>
      <c r="O39" s="65">
        <f>IFERROR(VLOOKUP(O38,'Modules informatiques'!$A$2:$D$50,4,FALSE()), "")</f>
        <v>0</v>
      </c>
      <c r="P39" s="65">
        <f>IFERROR(VLOOKUP(P38,'Modules informatiques'!$A$2:$D$50,4,FALSE()), "")</f>
        <v>0</v>
      </c>
      <c r="Q39" s="65">
        <f>IFERROR(VLOOKUP(Q38,'Modules informatiques'!$A$2:$D$50,4,FALSE()), "")</f>
        <v>0</v>
      </c>
      <c r="R39" s="65">
        <f>IFERROR(VLOOKUP(R38,'Modules informatiques'!$A$2:$D$50,4,FALSE()), "")</f>
        <v>0</v>
      </c>
      <c r="S39" s="65">
        <f>IFERROR(VLOOKUP(S38,'Modules informatiques'!$A$2:$D$50,4,FALSE()), "")</f>
        <v>0</v>
      </c>
      <c r="T39" s="65">
        <f>IFERROR(VLOOKUP(T38,'Modules informatiques'!$A$2:$D$50,4,FALSE()), "")</f>
        <v>0</v>
      </c>
      <c r="U39" s="78">
        <f>IFERROR(AVERAGE(C39:T39), "")</f>
        <v>0</v>
      </c>
      <c r="V39" s="64">
        <f>IFERROR(VLOOKUP(V38,'Projets entreprise'!$C$2:$E$91,3,FALSE()), "")</f>
        <v>0</v>
      </c>
      <c r="W39" s="65">
        <f>IFERROR(VLOOKUP(W38,'Projets entreprise'!$C$2:$E$91,3,FALSE()), "")</f>
        <v>0</v>
      </c>
      <c r="X39" s="65" t="str">
        <f>IFERROR(VLOOKUP(X38,'Projets entreprise'!$C$2:$E$91,3,FALSE()), "")</f>
        <v/>
      </c>
      <c r="Y39" s="65" t="str">
        <f>IFERROR(VLOOKUP(Y38,'Projets entreprise'!$C$2:$E$91,3,FALSE()), "")</f>
        <v/>
      </c>
      <c r="Z39" s="65" t="str">
        <f>IFERROR(VLOOKUP(Z38,'Projets entreprise'!$C$2:$E$91,3,FALSE()), "")</f>
        <v/>
      </c>
      <c r="AA39" s="65" t="str">
        <f>IFERROR(VLOOKUP(AA38,'Projets entreprise'!$C$2:$E$91,3,FALSE()), "")</f>
        <v/>
      </c>
      <c r="AB39" s="65" t="str">
        <f>IFERROR(VLOOKUP(AB38,'Projets entreprise'!$C$2:$E$91,3,FALSE()), "")</f>
        <v/>
      </c>
      <c r="AC39" s="65" t="str">
        <f>IFERROR(VLOOKUP(AC38,'Projets entreprise'!$C$2:$E$91,3,FALSE()), "")</f>
        <v/>
      </c>
      <c r="AD39" s="65" t="str">
        <f>IFERROR(VLOOKUP(AD38,'Projets entreprise'!$C$2:$E$91,3,FALSE()), "")</f>
        <v/>
      </c>
      <c r="AE39" s="65" t="str">
        <f>IFERROR(VLOOKUP(AE38,'Projets entreprise'!$C$2:$E$91,3,FALSE()), "")</f>
        <v/>
      </c>
      <c r="AF39" s="65" t="str">
        <f>IFERROR(VLOOKUP(AF38,'Projets entreprise'!$C$2:$E$91,3,FALSE()), "")</f>
        <v/>
      </c>
      <c r="AG39" s="65" t="str">
        <f>IFERROR(VLOOKUP(AG38,'Projets entreprise'!$C$2:$E$91,3,FALSE()), "")</f>
        <v/>
      </c>
      <c r="AH39" s="65" t="str">
        <f>IFERROR(VLOOKUP(AH38,'Projets entreprise'!$C$2:$E$91,3,FALSE()), "")</f>
        <v/>
      </c>
      <c r="AI39" s="65" t="str">
        <f>IFERROR(VLOOKUP(AI38,'Projets entreprise'!$C$2:$E$91,3,FALSE()), "")</f>
        <v/>
      </c>
      <c r="AJ39" s="65" t="str">
        <f>IFERROR(VLOOKUP(AJ38,'Projets entreprise'!$C$2:$E$91,3,FALSE()), "")</f>
        <v/>
      </c>
      <c r="AK39" s="65" t="str">
        <f>IFERROR(VLOOKUP(AK38,'Projets entreprise'!$C$2:$E$91,3,FALSE()), "")</f>
        <v/>
      </c>
      <c r="AL39" s="65" t="str">
        <f>IFERROR(VLOOKUP(AL38,'Projets entreprise'!$C$2:$E$91,3,FALSE()), "")</f>
        <v/>
      </c>
      <c r="AM39" s="65" t="str">
        <f>IFERROR(VLOOKUP(AM38,'Projets entreprise'!$C$2:$E$91,3,FALSE()), "")</f>
        <v/>
      </c>
      <c r="AN39" s="65" t="str">
        <f>IFERROR(VLOOKUP(AN38,'Projets entreprise'!$C$2:$E$91,3,FALSE()), "")</f>
        <v/>
      </c>
      <c r="AO39" s="65" t="str">
        <f>IFERROR(VLOOKUP(AO38,'Projets entreprise'!$C$2:$E$91,3,FALSE()), "")</f>
        <v/>
      </c>
      <c r="AP39" s="65" t="str">
        <f>IFERROR(VLOOKUP(AP38,'Projets entreprise'!$C$2:$E$91,3,FALSE()), "")</f>
        <v/>
      </c>
      <c r="AQ39" s="65" t="str">
        <f>IFERROR(VLOOKUP(AQ38,'Projets entreprise'!$C$2:$E$91,3,FALSE()), "")</f>
        <v/>
      </c>
      <c r="AR39" s="66" t="str">
        <f>IFERROR(VLOOKUP(AR38,'Projets entreprise'!$C$2:$E$91,3,FALSE()), "")</f>
        <v/>
      </c>
      <c r="AS39" s="86">
        <f>IFERROR(AVERAGE(V39:AR39), "")</f>
        <v>0</v>
      </c>
    </row>
    <row r="40" spans="1:45" ht="15.6" customHeight="1">
      <c r="A40" s="96" t="s">
        <v>163</v>
      </c>
      <c r="B40" s="97" t="s">
        <v>164</v>
      </c>
      <c r="C40" s="70">
        <v>319</v>
      </c>
      <c r="D40" s="71">
        <v>320</v>
      </c>
      <c r="E40" s="71">
        <v>323</v>
      </c>
      <c r="F40" s="71">
        <v>293</v>
      </c>
      <c r="G40" s="71">
        <v>165</v>
      </c>
      <c r="H40" s="71">
        <v>321</v>
      </c>
      <c r="I40" s="71">
        <v>322</v>
      </c>
      <c r="J40" s="71">
        <v>183</v>
      </c>
      <c r="K40" s="71">
        <v>426</v>
      </c>
      <c r="L40" s="71">
        <v>324</v>
      </c>
      <c r="M40" s="70">
        <v>106</v>
      </c>
      <c r="N40" s="71">
        <v>294</v>
      </c>
      <c r="O40" s="71">
        <v>295</v>
      </c>
      <c r="P40" s="71">
        <v>223</v>
      </c>
      <c r="Q40" s="71">
        <v>335</v>
      </c>
      <c r="R40" s="71">
        <v>216</v>
      </c>
      <c r="S40" s="71">
        <v>217</v>
      </c>
      <c r="T40" s="71"/>
      <c r="U40" s="77"/>
      <c r="V40" s="72" t="s">
        <v>92</v>
      </c>
      <c r="W40" s="83" t="s">
        <v>94</v>
      </c>
      <c r="X40" s="83" t="s">
        <v>96</v>
      </c>
      <c r="Y40" s="83" t="s">
        <v>98</v>
      </c>
      <c r="Z40" s="84" t="s">
        <v>102</v>
      </c>
      <c r="AA40" s="84" t="s">
        <v>104</v>
      </c>
      <c r="AB40" s="84" t="s">
        <v>106</v>
      </c>
      <c r="AC40" s="84" t="s">
        <v>108</v>
      </c>
      <c r="AD40" s="84" t="s">
        <v>110</v>
      </c>
      <c r="AE40" s="84" t="s">
        <v>112</v>
      </c>
      <c r="AF40" s="84" t="s">
        <v>114</v>
      </c>
      <c r="AG40" s="84" t="s">
        <v>116</v>
      </c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73"/>
      <c r="AS40" s="85"/>
    </row>
    <row r="41" spans="1:45">
      <c r="A41" s="96"/>
      <c r="B41" s="97"/>
      <c r="C41" s="74">
        <f>IFERROR(VLOOKUP(C40,'Modules informatiques'!$A$2:$D$50,4,FALSE()), "")</f>
        <v>0</v>
      </c>
      <c r="D41" s="75">
        <f>IFERROR(VLOOKUP(D40,'Modules informatiques'!$A$2:$D$50,4,FALSE()), "")</f>
        <v>0</v>
      </c>
      <c r="E41" s="75">
        <f>IFERROR(VLOOKUP(E40,'Modules informatiques'!$A$2:$D$50,4,FALSE()), "")</f>
        <v>0</v>
      </c>
      <c r="F41" s="75">
        <f>IFERROR(VLOOKUP(F40,'Modules informatiques'!$A$2:$D$50,4,FALSE()), "")</f>
        <v>0</v>
      </c>
      <c r="G41" s="75">
        <f>IFERROR(VLOOKUP(G40,'Modules informatiques'!$A$2:$D$50,4,FALSE()), "")</f>
        <v>0</v>
      </c>
      <c r="H41" s="75">
        <f>IFERROR(VLOOKUP(H40,'Modules informatiques'!$A$2:$D$50,4,FALSE()), "")</f>
        <v>0</v>
      </c>
      <c r="I41" s="75">
        <f>IFERROR(VLOOKUP(I40,'Modules informatiques'!$A$2:$D$50,4,FALSE()), "")</f>
        <v>0</v>
      </c>
      <c r="J41" s="75">
        <f>IFERROR(VLOOKUP(J40,'Modules informatiques'!$A$2:$D$50,4,FALSE()), "")</f>
        <v>0</v>
      </c>
      <c r="K41" s="75">
        <f>IFERROR(VLOOKUP(K40,'Modules informatiques'!$A$2:$D$50,4,FALSE()), "")</f>
        <v>0</v>
      </c>
      <c r="L41" s="75">
        <f>IFERROR(VLOOKUP(L40,'Modules informatiques'!$A$2:$D$50,4,FALSE()), "")</f>
        <v>0</v>
      </c>
      <c r="M41" s="74">
        <f>IFERROR(VLOOKUP(M40,'Modules informatiques'!$A$2:$D$50,4,FALSE()), "")</f>
        <v>0</v>
      </c>
      <c r="N41" s="75">
        <f>IFERROR(VLOOKUP(N40,'Modules informatiques'!$A$2:$D$50,4,FALSE()), "")</f>
        <v>0</v>
      </c>
      <c r="O41" s="75">
        <f>IFERROR(VLOOKUP(O40,'Modules informatiques'!$A$2:$D$50,4,FALSE()), "")</f>
        <v>0</v>
      </c>
      <c r="P41" s="75">
        <f>IFERROR(VLOOKUP(P40,'Modules informatiques'!$A$2:$D$50,4,FALSE()), "")</f>
        <v>0</v>
      </c>
      <c r="Q41" s="75">
        <f>IFERROR(VLOOKUP(Q40,'Modules informatiques'!$A$2:$D$50,4,FALSE()), "")</f>
        <v>0</v>
      </c>
      <c r="R41" s="75">
        <f>IFERROR(VLOOKUP(R40,'Modules informatiques'!$A$2:$D$50,4,FALSE()), "")</f>
        <v>0</v>
      </c>
      <c r="S41" s="75">
        <f>IFERROR(VLOOKUP(S40,'Modules informatiques'!$A$2:$D$50,4,FALSE()), "")</f>
        <v>0</v>
      </c>
      <c r="T41" s="75" t="str">
        <f>IFERROR(VLOOKUP(T40,'Modules informatiques'!$A$2:$D$50,4,FALSE()), "")</f>
        <v/>
      </c>
      <c r="U41" s="78">
        <f>IFERROR(AVERAGE(C41:T41), "")</f>
        <v>0</v>
      </c>
      <c r="V41" s="74">
        <f>IFERROR(VLOOKUP(V40,'Projets entreprise'!$C$2:$E$91,3,FALSE()), "")</f>
        <v>0</v>
      </c>
      <c r="W41" s="75">
        <f>IFERROR(VLOOKUP(W40,'Projets entreprise'!$C$2:$E$91,3,FALSE()), "")</f>
        <v>0</v>
      </c>
      <c r="X41" s="75">
        <f>IFERROR(VLOOKUP(X40,'Projets entreprise'!$C$2:$E$91,3,FALSE()), "")</f>
        <v>0</v>
      </c>
      <c r="Y41" s="75">
        <f>IFERROR(VLOOKUP(Y40,'Projets entreprise'!$C$2:$E$91,3,FALSE()), "")</f>
        <v>0</v>
      </c>
      <c r="Z41" s="75">
        <f>IFERROR(VLOOKUP(Z40,'Projets entreprise'!$C$2:$E$91,3,FALSE()), "")</f>
        <v>0</v>
      </c>
      <c r="AA41" s="75">
        <f>IFERROR(VLOOKUP(AA40,'Projets entreprise'!$C$2:$E$91,3,FALSE()), "")</f>
        <v>0</v>
      </c>
      <c r="AB41" s="75">
        <f>IFERROR(VLOOKUP(AB40,'Projets entreprise'!$C$2:$E$91,3,FALSE()), "")</f>
        <v>0</v>
      </c>
      <c r="AC41" s="75">
        <f>IFERROR(VLOOKUP(AC40,'Projets entreprise'!$C$2:$E$91,3,FALSE()), "")</f>
        <v>0</v>
      </c>
      <c r="AD41" s="75">
        <f>IFERROR(VLOOKUP(AD40,'Projets entreprise'!$C$2:$E$91,3,FALSE()), "")</f>
        <v>0</v>
      </c>
      <c r="AE41" s="75">
        <f>IFERROR(VLOOKUP(AE40,'Projets entreprise'!$C$2:$E$91,3,FALSE()), "")</f>
        <v>0</v>
      </c>
      <c r="AF41" s="75">
        <f>IFERROR(VLOOKUP(AF40,'Projets entreprise'!$C$2:$E$91,3,FALSE()), "")</f>
        <v>0</v>
      </c>
      <c r="AG41" s="75">
        <f>IFERROR(VLOOKUP(AG40,'Projets entreprise'!$C$2:$E$91,3,FALSE()), "")</f>
        <v>0</v>
      </c>
      <c r="AH41" s="75" t="str">
        <f>IFERROR(VLOOKUP(AH40,'Projets entreprise'!$C$2:$E$91,3,FALSE()), "")</f>
        <v/>
      </c>
      <c r="AI41" s="75" t="str">
        <f>IFERROR(VLOOKUP(AI40,'Projets entreprise'!$C$2:$E$91,3,FALSE()), "")</f>
        <v/>
      </c>
      <c r="AJ41" s="75" t="str">
        <f>IFERROR(VLOOKUP(AJ40,'Projets entreprise'!$C$2:$E$91,3,FALSE()), "")</f>
        <v/>
      </c>
      <c r="AK41" s="75" t="str">
        <f>IFERROR(VLOOKUP(AK40,'Projets entreprise'!$C$2:$E$91,3,FALSE()), "")</f>
        <v/>
      </c>
      <c r="AL41" s="75" t="str">
        <f>IFERROR(VLOOKUP(AL40,'Projets entreprise'!$C$2:$E$91,3,FALSE()), "")</f>
        <v/>
      </c>
      <c r="AM41" s="75" t="str">
        <f>IFERROR(VLOOKUP(AM40,'Projets entreprise'!$C$2:$E$91,3,FALSE()), "")</f>
        <v/>
      </c>
      <c r="AN41" s="75" t="str">
        <f>IFERROR(VLOOKUP(AN40,'Projets entreprise'!$C$2:$E$91,3,FALSE()), "")</f>
        <v/>
      </c>
      <c r="AO41" s="75" t="str">
        <f>IFERROR(VLOOKUP(AO40,'Projets entreprise'!$C$2:$E$91,3,FALSE()), "")</f>
        <v/>
      </c>
      <c r="AP41" s="75" t="str">
        <f>IFERROR(VLOOKUP(AP40,'Projets entreprise'!$C$2:$E$91,3,FALSE()), "")</f>
        <v/>
      </c>
      <c r="AQ41" s="75" t="str">
        <f>IFERROR(VLOOKUP(AQ40,'Projets entreprise'!$C$2:$E$91,3,FALSE()), "")</f>
        <v/>
      </c>
      <c r="AR41" s="76" t="str">
        <f>IFERROR(VLOOKUP(AR40,'Projets entreprise'!$C$2:$E$91,3,FALSE()), "")</f>
        <v/>
      </c>
      <c r="AS41" s="86">
        <f>IFERROR(AVERAGE(V41:AR41), "")</f>
        <v>0</v>
      </c>
    </row>
    <row r="42" spans="1:45" ht="15.6" customHeight="1">
      <c r="A42" s="94" t="s">
        <v>165</v>
      </c>
      <c r="B42" s="95" t="s">
        <v>166</v>
      </c>
      <c r="C42" s="54">
        <v>183</v>
      </c>
      <c r="D42" s="55">
        <v>426</v>
      </c>
      <c r="E42" s="55">
        <v>450</v>
      </c>
      <c r="F42" s="55">
        <v>324</v>
      </c>
      <c r="G42" s="55">
        <v>321</v>
      </c>
      <c r="H42" s="55"/>
      <c r="I42" s="55"/>
      <c r="J42" s="55"/>
      <c r="K42" s="55"/>
      <c r="L42" s="55"/>
      <c r="M42" s="54">
        <v>295</v>
      </c>
      <c r="N42" s="55">
        <v>223</v>
      </c>
      <c r="O42" s="55">
        <v>259</v>
      </c>
      <c r="P42" s="55">
        <v>217</v>
      </c>
      <c r="Q42" s="55"/>
      <c r="R42" s="55"/>
      <c r="S42" s="55"/>
      <c r="T42" s="55"/>
      <c r="U42" s="77"/>
      <c r="V42" s="56" t="s">
        <v>94</v>
      </c>
      <c r="W42" s="51" t="s">
        <v>96</v>
      </c>
      <c r="X42" s="51" t="s">
        <v>98</v>
      </c>
      <c r="Y42" s="51" t="s">
        <v>104</v>
      </c>
      <c r="Z42" s="50" t="s">
        <v>106</v>
      </c>
      <c r="AA42" s="50" t="s">
        <v>110</v>
      </c>
      <c r="AB42" s="50" t="s">
        <v>114</v>
      </c>
      <c r="AR42" s="63"/>
      <c r="AS42" s="85"/>
    </row>
    <row r="43" spans="1:45">
      <c r="A43" s="94"/>
      <c r="B43" s="95"/>
      <c r="C43" s="64">
        <f>IFERROR(VLOOKUP(C42,'Modules informatiques'!$A$2:$D$50,4,FALSE()), "")</f>
        <v>0</v>
      </c>
      <c r="D43" s="65">
        <f>IFERROR(VLOOKUP(D42,'Modules informatiques'!$A$2:$D$50,4,FALSE()), "")</f>
        <v>0</v>
      </c>
      <c r="E43" s="65">
        <f>IFERROR(VLOOKUP(E42,'Modules informatiques'!$A$2:$D$50,4,FALSE()), "")</f>
        <v>0</v>
      </c>
      <c r="F43" s="65">
        <f>IFERROR(VLOOKUP(F42,'Modules informatiques'!$A$2:$D$50,4,FALSE()), "")</f>
        <v>0</v>
      </c>
      <c r="G43" s="65">
        <f>IFERROR(VLOOKUP(G42,'Modules informatiques'!$A$2:$D$50,4,FALSE()), "")</f>
        <v>0</v>
      </c>
      <c r="H43" s="65" t="str">
        <f>IFERROR(VLOOKUP(H42,'Modules informatiques'!$A$2:$D$50,4,FALSE()), "")</f>
        <v/>
      </c>
      <c r="I43" s="65" t="str">
        <f>IFERROR(VLOOKUP(I42,'Modules informatiques'!$A$2:$D$50,4,FALSE()), "")</f>
        <v/>
      </c>
      <c r="J43" s="65" t="str">
        <f>IFERROR(VLOOKUP(J42,'Modules informatiques'!$A$2:$D$50,4,FALSE()), "")</f>
        <v/>
      </c>
      <c r="K43" s="65" t="str">
        <f>IFERROR(VLOOKUP(K42,'Modules informatiques'!$A$2:$D$50,4,FALSE()), "")</f>
        <v/>
      </c>
      <c r="L43" s="65" t="str">
        <f>IFERROR(VLOOKUP(L42,'Modules informatiques'!$A$2:$D$50,4,FALSE()), "")</f>
        <v/>
      </c>
      <c r="M43" s="64">
        <f>IFERROR(VLOOKUP(M42,'Modules informatiques'!$A$2:$D$50,4,FALSE()), "")</f>
        <v>0</v>
      </c>
      <c r="N43" s="65">
        <f>IFERROR(VLOOKUP(N42,'Modules informatiques'!$A$2:$D$50,4,FALSE()), "")</f>
        <v>0</v>
      </c>
      <c r="O43" s="65">
        <f>IFERROR(VLOOKUP(O42,'Modules informatiques'!$A$2:$D$50,4,FALSE()), "")</f>
        <v>0</v>
      </c>
      <c r="P43" s="65">
        <f>IFERROR(VLOOKUP(P42,'Modules informatiques'!$A$2:$D$50,4,FALSE()), "")</f>
        <v>0</v>
      </c>
      <c r="Q43" s="65" t="str">
        <f>IFERROR(VLOOKUP(Q42,'Modules informatiques'!$A$2:$D$50,4,FALSE()), "")</f>
        <v/>
      </c>
      <c r="R43" s="65" t="str">
        <f>IFERROR(VLOOKUP(R42,'Modules informatiques'!$A$2:$D$50,4,FALSE()), "")</f>
        <v/>
      </c>
      <c r="S43" s="65" t="str">
        <f>IFERROR(VLOOKUP(S42,'Modules informatiques'!$A$2:$D$50,4,FALSE()), "")</f>
        <v/>
      </c>
      <c r="T43" s="65" t="str">
        <f>IFERROR(VLOOKUP(T42,'Modules informatiques'!$A$2:$D$50,4,FALSE()), "")</f>
        <v/>
      </c>
      <c r="U43" s="78">
        <f>IFERROR(AVERAGE(C43:T43), "")</f>
        <v>0</v>
      </c>
      <c r="V43" s="64">
        <f>IFERROR(VLOOKUP(V42,'Projets entreprise'!$C$2:$E$91,3,FALSE()), "")</f>
        <v>0</v>
      </c>
      <c r="W43" s="65">
        <f>IFERROR(VLOOKUP(W42,'Projets entreprise'!$C$2:$E$91,3,FALSE()), "")</f>
        <v>0</v>
      </c>
      <c r="X43" s="65">
        <f>IFERROR(VLOOKUP(X42,'Projets entreprise'!$C$2:$E$91,3,FALSE()), "")</f>
        <v>0</v>
      </c>
      <c r="Y43" s="65">
        <f>IFERROR(VLOOKUP(Y42,'Projets entreprise'!$C$2:$E$91,3,FALSE()), "")</f>
        <v>0</v>
      </c>
      <c r="Z43" s="65">
        <f>IFERROR(VLOOKUP(Z42,'Projets entreprise'!$C$2:$E$91,3,FALSE()), "")</f>
        <v>0</v>
      </c>
      <c r="AA43" s="65">
        <f>IFERROR(VLOOKUP(AA42,'Projets entreprise'!$C$2:$E$91,3,FALSE()), "")</f>
        <v>0</v>
      </c>
      <c r="AB43" s="65">
        <f>IFERROR(VLOOKUP(AB42,'Projets entreprise'!$C$2:$E$91,3,FALSE()), "")</f>
        <v>0</v>
      </c>
      <c r="AC43" s="65" t="str">
        <f>IFERROR(VLOOKUP(AC42,'Projets entreprise'!$C$2:$E$91,3,FALSE()), "")</f>
        <v/>
      </c>
      <c r="AD43" s="65" t="str">
        <f>IFERROR(VLOOKUP(AD42,'Projets entreprise'!$C$2:$E$91,3,FALSE()), "")</f>
        <v/>
      </c>
      <c r="AE43" s="65" t="str">
        <f>IFERROR(VLOOKUP(AE42,'Projets entreprise'!$C$2:$E$91,3,FALSE()), "")</f>
        <v/>
      </c>
      <c r="AF43" s="65" t="str">
        <f>IFERROR(VLOOKUP(AF42,'Projets entreprise'!$C$2:$E$91,3,FALSE()), "")</f>
        <v/>
      </c>
      <c r="AG43" s="65" t="str">
        <f>IFERROR(VLOOKUP(AG42,'Projets entreprise'!$C$2:$E$91,3,FALSE()), "")</f>
        <v/>
      </c>
      <c r="AH43" s="65" t="str">
        <f>IFERROR(VLOOKUP(AH42,'Projets entreprise'!$C$2:$E$91,3,FALSE()), "")</f>
        <v/>
      </c>
      <c r="AI43" s="65" t="str">
        <f>IFERROR(VLOOKUP(AI42,'Projets entreprise'!$C$2:$E$91,3,FALSE()), "")</f>
        <v/>
      </c>
      <c r="AJ43" s="65" t="str">
        <f>IFERROR(VLOOKUP(AJ42,'Projets entreprise'!$C$2:$E$91,3,FALSE()), "")</f>
        <v/>
      </c>
      <c r="AK43" s="65" t="str">
        <f>IFERROR(VLOOKUP(AK42,'Projets entreprise'!$C$2:$E$91,3,FALSE()), "")</f>
        <v/>
      </c>
      <c r="AL43" s="65" t="str">
        <f>IFERROR(VLOOKUP(AL42,'Projets entreprise'!$C$2:$E$91,3,FALSE()), "")</f>
        <v/>
      </c>
      <c r="AM43" s="65" t="str">
        <f>IFERROR(VLOOKUP(AM42,'Projets entreprise'!$C$2:$E$91,3,FALSE()), "")</f>
        <v/>
      </c>
      <c r="AN43" s="65" t="str">
        <f>IFERROR(VLOOKUP(AN42,'Projets entreprise'!$C$2:$E$91,3,FALSE()), "")</f>
        <v/>
      </c>
      <c r="AO43" s="65" t="str">
        <f>IFERROR(VLOOKUP(AO42,'Projets entreprise'!$C$2:$E$91,3,FALSE()), "")</f>
        <v/>
      </c>
      <c r="AP43" s="65" t="str">
        <f>IFERROR(VLOOKUP(AP42,'Projets entreprise'!$C$2:$E$91,3,FALSE()), "")</f>
        <v/>
      </c>
      <c r="AQ43" s="65" t="str">
        <f>IFERROR(VLOOKUP(AQ42,'Projets entreprise'!$C$2:$E$91,3,FALSE()), "")</f>
        <v/>
      </c>
      <c r="AR43" s="66" t="str">
        <f>IFERROR(VLOOKUP(AR42,'Projets entreprise'!$C$2:$E$91,3,FALSE()), "")</f>
        <v/>
      </c>
      <c r="AS43" s="86">
        <f>IFERROR(AVERAGE(V43:AR43), "")</f>
        <v>0</v>
      </c>
    </row>
    <row r="44" spans="1:45" ht="15.6" customHeight="1">
      <c r="A44" s="96" t="s">
        <v>167</v>
      </c>
      <c r="B44" s="97" t="s">
        <v>168</v>
      </c>
      <c r="C44" s="70">
        <v>346</v>
      </c>
      <c r="D44" s="71">
        <v>347</v>
      </c>
      <c r="E44" s="71"/>
      <c r="F44" s="71"/>
      <c r="G44" s="71"/>
      <c r="H44" s="71"/>
      <c r="I44" s="71"/>
      <c r="J44" s="71"/>
      <c r="K44" s="71"/>
      <c r="L44" s="71"/>
      <c r="M44" s="70">
        <v>210</v>
      </c>
      <c r="N44" s="71"/>
      <c r="O44" s="71"/>
      <c r="P44" s="71"/>
      <c r="Q44" s="71"/>
      <c r="R44" s="71"/>
      <c r="S44" s="71"/>
      <c r="T44" s="71"/>
      <c r="U44" s="77"/>
      <c r="V44" s="72"/>
      <c r="W44" s="83"/>
      <c r="X44" s="83"/>
      <c r="Y44" s="83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73"/>
      <c r="AS44" s="85"/>
    </row>
    <row r="45" spans="1:45">
      <c r="A45" s="96"/>
      <c r="B45" s="97"/>
      <c r="C45" s="74">
        <f>IFERROR(VLOOKUP(C44,'Modules informatiques'!$A$2:$D$50,4,FALSE()), "")</f>
        <v>0</v>
      </c>
      <c r="D45" s="75">
        <f>IFERROR(VLOOKUP(D44,'Modules informatiques'!$A$2:$D$50,4,FALSE()), "")</f>
        <v>0</v>
      </c>
      <c r="E45" s="75" t="str">
        <f>IFERROR(VLOOKUP(E44,'Modules informatiques'!$A$2:$D$50,4,FALSE()), "")</f>
        <v/>
      </c>
      <c r="F45" s="75" t="str">
        <f>IFERROR(VLOOKUP(F44,'Modules informatiques'!$A$2:$D$50,4,FALSE()), "")</f>
        <v/>
      </c>
      <c r="G45" s="75" t="str">
        <f>IFERROR(VLOOKUP(G44,'Modules informatiques'!$A$2:$D$50,4,FALSE()), "")</f>
        <v/>
      </c>
      <c r="H45" s="75" t="str">
        <f>IFERROR(VLOOKUP(H44,'Modules informatiques'!$A$2:$D$50,4,FALSE()), "")</f>
        <v/>
      </c>
      <c r="I45" s="75" t="str">
        <f>IFERROR(VLOOKUP(I44,'Modules informatiques'!$A$2:$D$50,4,FALSE()), "")</f>
        <v/>
      </c>
      <c r="J45" s="75" t="str">
        <f>IFERROR(VLOOKUP(J44,'Modules informatiques'!$A$2:$D$50,4,FALSE()), "")</f>
        <v/>
      </c>
      <c r="K45" s="75" t="str">
        <f>IFERROR(VLOOKUP(K44,'Modules informatiques'!$A$2:$D$50,4,FALSE()), "")</f>
        <v/>
      </c>
      <c r="L45" s="75" t="str">
        <f>IFERROR(VLOOKUP(L44,'Modules informatiques'!$A$2:$D$50,4,FALSE()), "")</f>
        <v/>
      </c>
      <c r="M45" s="74">
        <f>IFERROR(VLOOKUP(M44,'Modules informatiques'!$A$2:$D$50,4,FALSE()), "")</f>
        <v>0</v>
      </c>
      <c r="N45" s="75" t="str">
        <f>IFERROR(VLOOKUP(N44,'Modules informatiques'!$A$2:$D$50,4,FALSE()), "")</f>
        <v/>
      </c>
      <c r="O45" s="75" t="str">
        <f>IFERROR(VLOOKUP(O44,'Modules informatiques'!$A$2:$D$50,4,FALSE()), "")</f>
        <v/>
      </c>
      <c r="P45" s="75" t="str">
        <f>IFERROR(VLOOKUP(P44,'Modules informatiques'!$A$2:$D$50,4,FALSE()), "")</f>
        <v/>
      </c>
      <c r="Q45" s="75" t="str">
        <f>IFERROR(VLOOKUP(Q44,'Modules informatiques'!$A$2:$D$50,4,FALSE()), "")</f>
        <v/>
      </c>
      <c r="R45" s="75" t="str">
        <f>IFERROR(VLOOKUP(R44,'Modules informatiques'!$A$2:$D$50,4,FALSE()), "")</f>
        <v/>
      </c>
      <c r="S45" s="75" t="str">
        <f>IFERROR(VLOOKUP(S44,'Modules informatiques'!$A$2:$D$50,4,FALSE()), "")</f>
        <v/>
      </c>
      <c r="T45" s="75" t="str">
        <f>IFERROR(VLOOKUP(T44,'Modules informatiques'!$A$2:$D$50,4,FALSE()), "")</f>
        <v/>
      </c>
      <c r="U45" s="78">
        <f>IFERROR(AVERAGE(C45:T45), "")</f>
        <v>0</v>
      </c>
      <c r="V45" s="74" t="str">
        <f>IFERROR(VLOOKUP(V44,'Projets entreprise'!$C$2:$E$91,3,FALSE()), "")</f>
        <v/>
      </c>
      <c r="W45" s="75" t="str">
        <f>IFERROR(VLOOKUP(W44,'Projets entreprise'!$C$2:$E$91,3,FALSE()), "")</f>
        <v/>
      </c>
      <c r="X45" s="75" t="str">
        <f>IFERROR(VLOOKUP(X44,'Projets entreprise'!$C$2:$E$91,3,FALSE()), "")</f>
        <v/>
      </c>
      <c r="Y45" s="75" t="str">
        <f>IFERROR(VLOOKUP(Y44,'Projets entreprise'!$C$2:$E$91,3,FALSE()), "")</f>
        <v/>
      </c>
      <c r="Z45" s="75" t="str">
        <f>IFERROR(VLOOKUP(Z44,'Projets entreprise'!$C$2:$E$91,3,FALSE()), "")</f>
        <v/>
      </c>
      <c r="AA45" s="75" t="str">
        <f>IFERROR(VLOOKUP(AA44,'Projets entreprise'!$C$2:$E$91,3,FALSE()), "")</f>
        <v/>
      </c>
      <c r="AB45" s="75" t="str">
        <f>IFERROR(VLOOKUP(AB44,'Projets entreprise'!$C$2:$E$91,3,FALSE()), "")</f>
        <v/>
      </c>
      <c r="AC45" s="75" t="str">
        <f>IFERROR(VLOOKUP(AC44,'Projets entreprise'!$C$2:$E$91,3,FALSE()), "")</f>
        <v/>
      </c>
      <c r="AD45" s="75" t="str">
        <f>IFERROR(VLOOKUP(AD44,'Projets entreprise'!$C$2:$E$91,3,FALSE()), "")</f>
        <v/>
      </c>
      <c r="AE45" s="75" t="str">
        <f>IFERROR(VLOOKUP(AE44,'Projets entreprise'!$C$2:$E$91,3,FALSE()), "")</f>
        <v/>
      </c>
      <c r="AF45" s="75" t="str">
        <f>IFERROR(VLOOKUP(AF44,'Projets entreprise'!$C$2:$E$91,3,FALSE()), "")</f>
        <v/>
      </c>
      <c r="AG45" s="75" t="str">
        <f>IFERROR(VLOOKUP(AG44,'Projets entreprise'!$C$2:$E$91,3,FALSE()), "")</f>
        <v/>
      </c>
      <c r="AH45" s="75" t="str">
        <f>IFERROR(VLOOKUP(AH44,'Projets entreprise'!$C$2:$E$91,3,FALSE()), "")</f>
        <v/>
      </c>
      <c r="AI45" s="75" t="str">
        <f>IFERROR(VLOOKUP(AI44,'Projets entreprise'!$C$2:$E$91,3,FALSE()), "")</f>
        <v/>
      </c>
      <c r="AJ45" s="75" t="str">
        <f>IFERROR(VLOOKUP(AJ44,'Projets entreprise'!$C$2:$E$91,3,FALSE()), "")</f>
        <v/>
      </c>
      <c r="AK45" s="75" t="str">
        <f>IFERROR(VLOOKUP(AK44,'Projets entreprise'!$C$2:$E$91,3,FALSE()), "")</f>
        <v/>
      </c>
      <c r="AL45" s="75" t="str">
        <f>IFERROR(VLOOKUP(AL44,'Projets entreprise'!$C$2:$E$91,3,FALSE()), "")</f>
        <v/>
      </c>
      <c r="AM45" s="75" t="str">
        <f>IFERROR(VLOOKUP(AM44,'Projets entreprise'!$C$2:$E$91,3,FALSE()), "")</f>
        <v/>
      </c>
      <c r="AN45" s="75" t="str">
        <f>IFERROR(VLOOKUP(AN44,'Projets entreprise'!$C$2:$E$91,3,FALSE()), "")</f>
        <v/>
      </c>
      <c r="AO45" s="75" t="str">
        <f>IFERROR(VLOOKUP(AO44,'Projets entreprise'!$C$2:$E$91,3,FALSE()), "")</f>
        <v/>
      </c>
      <c r="AP45" s="75" t="str">
        <f>IFERROR(VLOOKUP(AP44,'Projets entreprise'!$C$2:$E$91,3,FALSE()), "")</f>
        <v/>
      </c>
      <c r="AQ45" s="75" t="str">
        <f>IFERROR(VLOOKUP(AQ44,'Projets entreprise'!$C$2:$E$91,3,FALSE()), "")</f>
        <v/>
      </c>
      <c r="AR45" s="76" t="str">
        <f>IFERROR(VLOOKUP(AR44,'Projets entreprise'!$C$2:$E$91,3,FALSE()), "")</f>
        <v/>
      </c>
      <c r="AS45" s="86" t="str">
        <f>IFERROR(AVERAGE(V45:AR45), "")</f>
        <v/>
      </c>
    </row>
    <row r="46" spans="1:45" ht="15.6" customHeight="1">
      <c r="A46" s="94" t="s">
        <v>169</v>
      </c>
      <c r="B46" s="95" t="s">
        <v>170</v>
      </c>
      <c r="C46" s="54">
        <v>426</v>
      </c>
      <c r="D46" s="55">
        <v>346</v>
      </c>
      <c r="E46" s="55">
        <v>324</v>
      </c>
      <c r="F46" s="55"/>
      <c r="G46" s="55"/>
      <c r="H46" s="55"/>
      <c r="I46" s="55"/>
      <c r="J46" s="55"/>
      <c r="K46" s="55"/>
      <c r="L46" s="55"/>
      <c r="M46" s="54">
        <v>210</v>
      </c>
      <c r="N46" s="55"/>
      <c r="O46" s="55"/>
      <c r="P46" s="55"/>
      <c r="Q46" s="55"/>
      <c r="R46" s="55"/>
      <c r="S46" s="55"/>
      <c r="T46" s="55"/>
      <c r="U46" s="77"/>
      <c r="V46" s="56"/>
      <c r="AR46" s="63"/>
      <c r="AS46" s="85"/>
    </row>
    <row r="47" spans="1:45">
      <c r="A47" s="94"/>
      <c r="B47" s="95"/>
      <c r="C47" s="64">
        <f>IFERROR(VLOOKUP(C46,'Modules informatiques'!$A$2:$D$50,4,FALSE()), "")</f>
        <v>0</v>
      </c>
      <c r="D47" s="65">
        <f>IFERROR(VLOOKUP(D46,'Modules informatiques'!$A$2:$D$50,4,FALSE()), "")</f>
        <v>0</v>
      </c>
      <c r="E47" s="65">
        <f>IFERROR(VLOOKUP(E46,'Modules informatiques'!$A$2:$D$50,4,FALSE()), "")</f>
        <v>0</v>
      </c>
      <c r="F47" s="65" t="str">
        <f>IFERROR(VLOOKUP(F46,'Modules informatiques'!$A$2:$D$50,4,FALSE()), "")</f>
        <v/>
      </c>
      <c r="G47" s="65" t="str">
        <f>IFERROR(VLOOKUP(G46,'Modules informatiques'!$A$2:$D$50,4,FALSE()), "")</f>
        <v/>
      </c>
      <c r="H47" s="65" t="str">
        <f>IFERROR(VLOOKUP(H46,'Modules informatiques'!$A$2:$D$50,4,FALSE()), "")</f>
        <v/>
      </c>
      <c r="I47" s="65" t="str">
        <f>IFERROR(VLOOKUP(I46,'Modules informatiques'!$A$2:$D$50,4,FALSE()), "")</f>
        <v/>
      </c>
      <c r="J47" s="65" t="str">
        <f>IFERROR(VLOOKUP(J46,'Modules informatiques'!$A$2:$D$50,4,FALSE()), "")</f>
        <v/>
      </c>
      <c r="K47" s="65" t="str">
        <f>IFERROR(VLOOKUP(K46,'Modules informatiques'!$A$2:$D$50,4,FALSE()), "")</f>
        <v/>
      </c>
      <c r="L47" s="65" t="str">
        <f>IFERROR(VLOOKUP(L46,'Modules informatiques'!$A$2:$D$50,4,FALSE()), "")</f>
        <v/>
      </c>
      <c r="M47" s="64">
        <f>IFERROR(VLOOKUP(M46,'Modules informatiques'!$A$2:$D$50,4,FALSE()), "")</f>
        <v>0</v>
      </c>
      <c r="N47" s="65" t="str">
        <f>IFERROR(VLOOKUP(N46,'Modules informatiques'!$A$2:$D$50,4,FALSE()), "")</f>
        <v/>
      </c>
      <c r="O47" s="65" t="str">
        <f>IFERROR(VLOOKUP(O46,'Modules informatiques'!$A$2:$D$50,4,FALSE()), "")</f>
        <v/>
      </c>
      <c r="P47" s="65" t="str">
        <f>IFERROR(VLOOKUP(P46,'Modules informatiques'!$A$2:$D$50,4,FALSE()), "")</f>
        <v/>
      </c>
      <c r="Q47" s="65" t="str">
        <f>IFERROR(VLOOKUP(Q46,'Modules informatiques'!$A$2:$D$50,4,FALSE()), "")</f>
        <v/>
      </c>
      <c r="R47" s="65" t="str">
        <f>IFERROR(VLOOKUP(R46,'Modules informatiques'!$A$2:$D$50,4,FALSE()), "")</f>
        <v/>
      </c>
      <c r="S47" s="65" t="str">
        <f>IFERROR(VLOOKUP(S46,'Modules informatiques'!$A$2:$D$50,4,FALSE()), "")</f>
        <v/>
      </c>
      <c r="T47" s="65" t="str">
        <f>IFERROR(VLOOKUP(T46,'Modules informatiques'!$A$2:$D$50,4,FALSE()), "")</f>
        <v/>
      </c>
      <c r="U47" s="78">
        <f>IFERROR(AVERAGE(C47:T47), "")</f>
        <v>0</v>
      </c>
      <c r="V47" s="64" t="str">
        <f>IFERROR(VLOOKUP(V46,'Projets entreprise'!$C$2:$E$91,3,FALSE()), "")</f>
        <v/>
      </c>
      <c r="W47" s="65" t="str">
        <f>IFERROR(VLOOKUP(W46,'Projets entreprise'!$C$2:$E$91,3,FALSE()), "")</f>
        <v/>
      </c>
      <c r="X47" s="65" t="str">
        <f>IFERROR(VLOOKUP(X46,'Projets entreprise'!$C$2:$E$91,3,FALSE()), "")</f>
        <v/>
      </c>
      <c r="Y47" s="65" t="str">
        <f>IFERROR(VLOOKUP(Y46,'Projets entreprise'!$C$2:$E$91,3,FALSE()), "")</f>
        <v/>
      </c>
      <c r="Z47" s="65" t="str">
        <f>IFERROR(VLOOKUP(Z46,'Projets entreprise'!$C$2:$E$91,3,FALSE()), "")</f>
        <v/>
      </c>
      <c r="AA47" s="65" t="str">
        <f>IFERROR(VLOOKUP(AA46,'Projets entreprise'!$C$2:$E$91,3,FALSE()), "")</f>
        <v/>
      </c>
      <c r="AB47" s="65" t="str">
        <f>IFERROR(VLOOKUP(AB46,'Projets entreprise'!$C$2:$E$91,3,FALSE()), "")</f>
        <v/>
      </c>
      <c r="AC47" s="65" t="str">
        <f>IFERROR(VLOOKUP(AC46,'Projets entreprise'!$C$2:$E$91,3,FALSE()), "")</f>
        <v/>
      </c>
      <c r="AD47" s="65" t="str">
        <f>IFERROR(VLOOKUP(AD46,'Projets entreprise'!$C$2:$E$91,3,FALSE()), "")</f>
        <v/>
      </c>
      <c r="AE47" s="65" t="str">
        <f>IFERROR(VLOOKUP(AE46,'Projets entreprise'!$C$2:$E$91,3,FALSE()), "")</f>
        <v/>
      </c>
      <c r="AF47" s="65" t="str">
        <f>IFERROR(VLOOKUP(AF46,'Projets entreprise'!$C$2:$E$91,3,FALSE()), "")</f>
        <v/>
      </c>
      <c r="AG47" s="65" t="str">
        <f>IFERROR(VLOOKUP(AG46,'Projets entreprise'!$C$2:$E$91,3,FALSE()), "")</f>
        <v/>
      </c>
      <c r="AH47" s="65" t="str">
        <f>IFERROR(VLOOKUP(AH46,'Projets entreprise'!$C$2:$E$91,3,FALSE()), "")</f>
        <v/>
      </c>
      <c r="AI47" s="65" t="str">
        <f>IFERROR(VLOOKUP(AI46,'Projets entreprise'!$C$2:$E$91,3,FALSE()), "")</f>
        <v/>
      </c>
      <c r="AJ47" s="65" t="str">
        <f>IFERROR(VLOOKUP(AJ46,'Projets entreprise'!$C$2:$E$91,3,FALSE()), "")</f>
        <v/>
      </c>
      <c r="AK47" s="65" t="str">
        <f>IFERROR(VLOOKUP(AK46,'Projets entreprise'!$C$2:$E$91,3,FALSE()), "")</f>
        <v/>
      </c>
      <c r="AL47" s="65" t="str">
        <f>IFERROR(VLOOKUP(AL46,'Projets entreprise'!$C$2:$E$91,3,FALSE()), "")</f>
        <v/>
      </c>
      <c r="AM47" s="65" t="str">
        <f>IFERROR(VLOOKUP(AM46,'Projets entreprise'!$C$2:$E$91,3,FALSE()), "")</f>
        <v/>
      </c>
      <c r="AN47" s="65" t="str">
        <f>IFERROR(VLOOKUP(AN46,'Projets entreprise'!$C$2:$E$91,3,FALSE()), "")</f>
        <v/>
      </c>
      <c r="AO47" s="65" t="str">
        <f>IFERROR(VLOOKUP(AO46,'Projets entreprise'!$C$2:$E$91,3,FALSE()), "")</f>
        <v/>
      </c>
      <c r="AP47" s="65" t="str">
        <f>IFERROR(VLOOKUP(AP46,'Projets entreprise'!$C$2:$E$91,3,FALSE()), "")</f>
        <v/>
      </c>
      <c r="AQ47" s="65" t="str">
        <f>IFERROR(VLOOKUP(AQ46,'Projets entreprise'!$C$2:$E$91,3,FALSE()), "")</f>
        <v/>
      </c>
      <c r="AR47" s="66" t="str">
        <f>IFERROR(VLOOKUP(AR46,'Projets entreprise'!$C$2:$E$91,3,FALSE()), "")</f>
        <v/>
      </c>
      <c r="AS47" s="86" t="str">
        <f>IFERROR(AVERAGE(V47:AR47), "")</f>
        <v/>
      </c>
    </row>
    <row r="48" spans="1:45" ht="15.6" customHeight="1">
      <c r="A48" s="96" t="s">
        <v>171</v>
      </c>
      <c r="B48" s="97" t="s">
        <v>172</v>
      </c>
      <c r="C48" s="70">
        <v>122</v>
      </c>
      <c r="D48" s="71">
        <v>324</v>
      </c>
      <c r="E48" s="71">
        <v>347</v>
      </c>
      <c r="F48" s="71">
        <v>346</v>
      </c>
      <c r="G48" s="71"/>
      <c r="H48" s="71"/>
      <c r="I48" s="71"/>
      <c r="J48" s="71"/>
      <c r="K48" s="71"/>
      <c r="L48" s="71"/>
      <c r="M48" s="70">
        <v>335</v>
      </c>
      <c r="N48" s="71">
        <v>190</v>
      </c>
      <c r="O48" s="71">
        <v>210</v>
      </c>
      <c r="P48" s="71"/>
      <c r="Q48" s="71"/>
      <c r="R48" s="71"/>
      <c r="S48" s="71"/>
      <c r="T48" s="71"/>
      <c r="U48" s="77"/>
      <c r="V48" s="72" t="s">
        <v>94</v>
      </c>
      <c r="W48" s="83" t="s">
        <v>96</v>
      </c>
      <c r="X48" s="83" t="s">
        <v>106</v>
      </c>
      <c r="Y48" s="83" t="s">
        <v>110</v>
      </c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73"/>
      <c r="AS48" s="85"/>
    </row>
    <row r="49" spans="1:45">
      <c r="A49" s="96"/>
      <c r="B49" s="97"/>
      <c r="C49" s="74">
        <f>IFERROR(VLOOKUP(C48,'Modules informatiques'!$A$2:$D$50,4,FALSE()), "")</f>
        <v>0</v>
      </c>
      <c r="D49" s="75">
        <f>IFERROR(VLOOKUP(D48,'Modules informatiques'!$A$2:$D$50,4,FALSE()), "")</f>
        <v>0</v>
      </c>
      <c r="E49" s="75">
        <f>IFERROR(VLOOKUP(E48,'Modules informatiques'!$A$2:$D$50,4,FALSE()), "")</f>
        <v>0</v>
      </c>
      <c r="F49" s="75">
        <f>IFERROR(VLOOKUP(F48,'Modules informatiques'!$A$2:$D$50,4,FALSE()), "")</f>
        <v>0</v>
      </c>
      <c r="G49" s="75" t="str">
        <f>IFERROR(VLOOKUP(G48,'Modules informatiques'!$A$2:$D$50,4,FALSE()), "")</f>
        <v/>
      </c>
      <c r="H49" s="75" t="str">
        <f>IFERROR(VLOOKUP(H48,'Modules informatiques'!$A$2:$D$50,4,FALSE()), "")</f>
        <v/>
      </c>
      <c r="I49" s="75" t="str">
        <f>IFERROR(VLOOKUP(I48,'Modules informatiques'!$A$2:$D$50,4,FALSE()), "")</f>
        <v/>
      </c>
      <c r="J49" s="75" t="str">
        <f>IFERROR(VLOOKUP(J48,'Modules informatiques'!$A$2:$D$50,4,FALSE()), "")</f>
        <v/>
      </c>
      <c r="K49" s="75" t="str">
        <f>IFERROR(VLOOKUP(K48,'Modules informatiques'!$A$2:$D$50,4,FALSE()), "")</f>
        <v/>
      </c>
      <c r="L49" s="75" t="str">
        <f>IFERROR(VLOOKUP(L48,'Modules informatiques'!$A$2:$D$50,4,FALSE()), "")</f>
        <v/>
      </c>
      <c r="M49" s="74">
        <f>IFERROR(VLOOKUP(M48,'Modules informatiques'!$A$2:$D$50,4,FALSE()), "")</f>
        <v>0</v>
      </c>
      <c r="N49" s="75">
        <f>IFERROR(VLOOKUP(N48,'Modules informatiques'!$A$2:$D$50,4,FALSE()), "")</f>
        <v>0</v>
      </c>
      <c r="O49" s="75">
        <f>IFERROR(VLOOKUP(O48,'Modules informatiques'!$A$2:$D$50,4,FALSE()), "")</f>
        <v>0</v>
      </c>
      <c r="P49" s="75" t="str">
        <f>IFERROR(VLOOKUP(P48,'Modules informatiques'!$A$2:$D$50,4,FALSE()), "")</f>
        <v/>
      </c>
      <c r="Q49" s="75" t="str">
        <f>IFERROR(VLOOKUP(Q48,'Modules informatiques'!$A$2:$D$50,4,FALSE()), "")</f>
        <v/>
      </c>
      <c r="R49" s="75" t="str">
        <f>IFERROR(VLOOKUP(R48,'Modules informatiques'!$A$2:$D$50,4,FALSE()), "")</f>
        <v/>
      </c>
      <c r="S49" s="75" t="str">
        <f>IFERROR(VLOOKUP(S48,'Modules informatiques'!$A$2:$D$50,4,FALSE()), "")</f>
        <v/>
      </c>
      <c r="T49" s="75" t="str">
        <f>IFERROR(VLOOKUP(T48,'Modules informatiques'!$A$2:$D$50,4,FALSE()), "")</f>
        <v/>
      </c>
      <c r="U49" s="78">
        <f>IFERROR(AVERAGE(C49:T49), "")</f>
        <v>0</v>
      </c>
      <c r="V49" s="74">
        <f>IFERROR(VLOOKUP(V48,'Projets entreprise'!$C$2:$E$91,3,FALSE()), "")</f>
        <v>0</v>
      </c>
      <c r="W49" s="75">
        <f>IFERROR(VLOOKUP(W48,'Projets entreprise'!$C$2:$E$91,3,FALSE()), "")</f>
        <v>0</v>
      </c>
      <c r="X49" s="75">
        <f>IFERROR(VLOOKUP(X48,'Projets entreprise'!$C$2:$E$91,3,FALSE()), "")</f>
        <v>0</v>
      </c>
      <c r="Y49" s="75">
        <f>IFERROR(VLOOKUP(Y48,'Projets entreprise'!$C$2:$E$91,3,FALSE()), "")</f>
        <v>0</v>
      </c>
      <c r="Z49" s="75" t="str">
        <f>IFERROR(VLOOKUP(Z48,'Projets entreprise'!$C$2:$E$91,3,FALSE()), "")</f>
        <v/>
      </c>
      <c r="AA49" s="75" t="str">
        <f>IFERROR(VLOOKUP(AA48,'Projets entreprise'!$C$2:$E$91,3,FALSE()), "")</f>
        <v/>
      </c>
      <c r="AB49" s="75" t="str">
        <f>IFERROR(VLOOKUP(AB48,'Projets entreprise'!$C$2:$E$91,3,FALSE()), "")</f>
        <v/>
      </c>
      <c r="AC49" s="75" t="str">
        <f>IFERROR(VLOOKUP(AC48,'Projets entreprise'!$C$2:$E$91,3,FALSE()), "")</f>
        <v/>
      </c>
      <c r="AD49" s="75" t="str">
        <f>IFERROR(VLOOKUP(AD48,'Projets entreprise'!$C$2:$E$91,3,FALSE()), "")</f>
        <v/>
      </c>
      <c r="AE49" s="75" t="str">
        <f>IFERROR(VLOOKUP(AE48,'Projets entreprise'!$C$2:$E$91,3,FALSE()), "")</f>
        <v/>
      </c>
      <c r="AF49" s="75" t="str">
        <f>IFERROR(VLOOKUP(AF48,'Projets entreprise'!$C$2:$E$91,3,FALSE()), "")</f>
        <v/>
      </c>
      <c r="AG49" s="75" t="str">
        <f>IFERROR(VLOOKUP(AG48,'Projets entreprise'!$C$2:$E$91,3,FALSE()), "")</f>
        <v/>
      </c>
      <c r="AH49" s="75" t="str">
        <f>IFERROR(VLOOKUP(AH48,'Projets entreprise'!$C$2:$E$91,3,FALSE()), "")</f>
        <v/>
      </c>
      <c r="AI49" s="75" t="str">
        <f>IFERROR(VLOOKUP(AI48,'Projets entreprise'!$C$2:$E$91,3,FALSE()), "")</f>
        <v/>
      </c>
      <c r="AJ49" s="75" t="str">
        <f>IFERROR(VLOOKUP(AJ48,'Projets entreprise'!$C$2:$E$91,3,FALSE()), "")</f>
        <v/>
      </c>
      <c r="AK49" s="75" t="str">
        <f>IFERROR(VLOOKUP(AK48,'Projets entreprise'!$C$2:$E$91,3,FALSE()), "")</f>
        <v/>
      </c>
      <c r="AL49" s="75" t="str">
        <f>IFERROR(VLOOKUP(AL48,'Projets entreprise'!$C$2:$E$91,3,FALSE()), "")</f>
        <v/>
      </c>
      <c r="AM49" s="75" t="str">
        <f>IFERROR(VLOOKUP(AM48,'Projets entreprise'!$C$2:$E$91,3,FALSE()), "")</f>
        <v/>
      </c>
      <c r="AN49" s="75" t="str">
        <f>IFERROR(VLOOKUP(AN48,'Projets entreprise'!$C$2:$E$91,3,FALSE()), "")</f>
        <v/>
      </c>
      <c r="AO49" s="75" t="str">
        <f>IFERROR(VLOOKUP(AO48,'Projets entreprise'!$C$2:$E$91,3,FALSE()), "")</f>
        <v/>
      </c>
      <c r="AP49" s="75" t="str">
        <f>IFERROR(VLOOKUP(AP48,'Projets entreprise'!$C$2:$E$91,3,FALSE()), "")</f>
        <v/>
      </c>
      <c r="AQ49" s="75" t="str">
        <f>IFERROR(VLOOKUP(AQ48,'Projets entreprise'!$C$2:$E$91,3,FALSE()), "")</f>
        <v/>
      </c>
      <c r="AR49" s="76" t="str">
        <f>IFERROR(VLOOKUP(AR48,'Projets entreprise'!$C$2:$E$91,3,FALSE()), "")</f>
        <v/>
      </c>
      <c r="AS49" s="86">
        <f>IFERROR(AVERAGE(V49:AR49), "")</f>
        <v>0</v>
      </c>
    </row>
    <row r="50" spans="1:45" ht="15.6" customHeight="1">
      <c r="A50" s="94" t="s">
        <v>173</v>
      </c>
      <c r="B50" s="95" t="s">
        <v>174</v>
      </c>
      <c r="C50" s="54">
        <v>183</v>
      </c>
      <c r="D50" s="55">
        <v>431</v>
      </c>
      <c r="E50" s="55">
        <v>321</v>
      </c>
      <c r="F50" s="55">
        <v>346</v>
      </c>
      <c r="G50" s="55"/>
      <c r="H50" s="55"/>
      <c r="I50" s="55"/>
      <c r="J50" s="55"/>
      <c r="K50" s="55"/>
      <c r="L50" s="55"/>
      <c r="M50" s="54">
        <v>187</v>
      </c>
      <c r="N50" s="55">
        <v>110</v>
      </c>
      <c r="O50" s="55">
        <v>109</v>
      </c>
      <c r="P50" s="55"/>
      <c r="Q50" s="55"/>
      <c r="R50" s="55"/>
      <c r="S50" s="55"/>
      <c r="T50" s="55"/>
      <c r="U50" s="77"/>
      <c r="V50" s="56"/>
      <c r="AR50" s="63"/>
      <c r="AS50" s="85"/>
    </row>
    <row r="51" spans="1:45">
      <c r="A51" s="98"/>
      <c r="B51" s="99"/>
      <c r="C51" s="67">
        <f>IFERROR(VLOOKUP(C50,'Modules informatiques'!$A$2:$D$50,4,FALSE()), "")</f>
        <v>0</v>
      </c>
      <c r="D51" s="68">
        <f>IFERROR(VLOOKUP(D50,'Modules informatiques'!$A$2:$D$50,4,FALSE()), "")</f>
        <v>0</v>
      </c>
      <c r="E51" s="68">
        <f>IFERROR(VLOOKUP(E50,'Modules informatiques'!$A$2:$D$50,4,FALSE()), "")</f>
        <v>0</v>
      </c>
      <c r="F51" s="68">
        <f>IFERROR(VLOOKUP(F50,'Modules informatiques'!$A$2:$D$50,4,FALSE()), "")</f>
        <v>0</v>
      </c>
      <c r="G51" s="68" t="str">
        <f>IFERROR(VLOOKUP(G50,'Modules informatiques'!$A$2:$D$50,4,FALSE()), "")</f>
        <v/>
      </c>
      <c r="H51" s="68" t="str">
        <f>IFERROR(VLOOKUP(H50,'Modules informatiques'!$A$2:$D$50,4,FALSE()), "")</f>
        <v/>
      </c>
      <c r="I51" s="68" t="str">
        <f>IFERROR(VLOOKUP(I50,'Modules informatiques'!$A$2:$D$50,4,FALSE()), "")</f>
        <v/>
      </c>
      <c r="J51" s="68" t="str">
        <f>IFERROR(VLOOKUP(J50,'Modules informatiques'!$A$2:$D$50,4,FALSE()), "")</f>
        <v/>
      </c>
      <c r="K51" s="68" t="str">
        <f>IFERROR(VLOOKUP(K50,'Modules informatiques'!$A$2:$D$50,4,FALSE()), "")</f>
        <v/>
      </c>
      <c r="L51" s="68" t="str">
        <f>IFERROR(VLOOKUP(L50,'Modules informatiques'!$A$2:$D$50,4,FALSE()), "")</f>
        <v/>
      </c>
      <c r="M51" s="67">
        <f>IFERROR(VLOOKUP(M50,'Modules informatiques'!$A$2:$D$50,4,FALSE()), "")</f>
        <v>0</v>
      </c>
      <c r="N51" s="68">
        <f>IFERROR(VLOOKUP(N50,'Modules informatiques'!$A$2:$D$50,4,FALSE()), "")</f>
        <v>0</v>
      </c>
      <c r="O51" s="68">
        <f>IFERROR(VLOOKUP(O50,'Modules informatiques'!$A$2:$D$50,4,FALSE()), "")</f>
        <v>0</v>
      </c>
      <c r="P51" s="68" t="str">
        <f>IFERROR(VLOOKUP(P50,'Modules informatiques'!$A$2:$D$50,4,FALSE()), "")</f>
        <v/>
      </c>
      <c r="Q51" s="68" t="str">
        <f>IFERROR(VLOOKUP(Q50,'Modules informatiques'!$A$2:$D$50,4,FALSE()), "")</f>
        <v/>
      </c>
      <c r="R51" s="68" t="str">
        <f>IFERROR(VLOOKUP(R50,'Modules informatiques'!$A$2:$D$50,4,FALSE()), "")</f>
        <v/>
      </c>
      <c r="S51" s="68" t="str">
        <f>IFERROR(VLOOKUP(S50,'Modules informatiques'!$A$2:$D$50,4,FALSE()), "")</f>
        <v/>
      </c>
      <c r="T51" s="68" t="str">
        <f>IFERROR(VLOOKUP(T50,'Modules informatiques'!$A$2:$D$50,4,FALSE()), "")</f>
        <v/>
      </c>
      <c r="U51" s="79">
        <f>IFERROR(AVERAGE(C51:T51), "")</f>
        <v>0</v>
      </c>
      <c r="V51" s="67" t="str">
        <f>IFERROR(VLOOKUP(V50,'Projets entreprise'!$C$2:$E$91,3,FALSE()), "")</f>
        <v/>
      </c>
      <c r="W51" s="68" t="str">
        <f>IFERROR(VLOOKUP(W50,'Projets entreprise'!$C$2:$E$91,3,FALSE()), "")</f>
        <v/>
      </c>
      <c r="X51" s="68" t="str">
        <f>IFERROR(VLOOKUP(X50,'Projets entreprise'!$C$2:$E$91,3,FALSE()), "")</f>
        <v/>
      </c>
      <c r="Y51" s="68" t="str">
        <f>IFERROR(VLOOKUP(Y50,'Projets entreprise'!$C$2:$E$91,3,FALSE()), "")</f>
        <v/>
      </c>
      <c r="Z51" s="68" t="str">
        <f>IFERROR(VLOOKUP(Z50,'Projets entreprise'!$C$2:$E$91,3,FALSE()), "")</f>
        <v/>
      </c>
      <c r="AA51" s="68" t="str">
        <f>IFERROR(VLOOKUP(AA50,'Projets entreprise'!$C$2:$E$91,3,FALSE()), "")</f>
        <v/>
      </c>
      <c r="AB51" s="68" t="str">
        <f>IFERROR(VLOOKUP(AB50,'Projets entreprise'!$C$2:$E$91,3,FALSE()), "")</f>
        <v/>
      </c>
      <c r="AC51" s="68" t="str">
        <f>IFERROR(VLOOKUP(AC50,'Projets entreprise'!$C$2:$E$91,3,FALSE()), "")</f>
        <v/>
      </c>
      <c r="AD51" s="68" t="str">
        <f>IFERROR(VLOOKUP(AD50,'Projets entreprise'!$C$2:$E$91,3,FALSE()), "")</f>
        <v/>
      </c>
      <c r="AE51" s="68" t="str">
        <f>IFERROR(VLOOKUP(AE50,'Projets entreprise'!$C$2:$E$91,3,FALSE()), "")</f>
        <v/>
      </c>
      <c r="AF51" s="68" t="str">
        <f>IFERROR(VLOOKUP(AF50,'Projets entreprise'!$C$2:$E$91,3,FALSE()), "")</f>
        <v/>
      </c>
      <c r="AG51" s="68" t="str">
        <f>IFERROR(VLOOKUP(AG50,'Projets entreprise'!$C$2:$E$91,3,FALSE()), "")</f>
        <v/>
      </c>
      <c r="AH51" s="68" t="str">
        <f>IFERROR(VLOOKUP(AH50,'Projets entreprise'!$C$2:$E$91,3,FALSE()), "")</f>
        <v/>
      </c>
      <c r="AI51" s="68" t="str">
        <f>IFERROR(VLOOKUP(AI50,'Projets entreprise'!$C$2:$E$91,3,FALSE()), "")</f>
        <v/>
      </c>
      <c r="AJ51" s="68" t="str">
        <f>IFERROR(VLOOKUP(AJ50,'Projets entreprise'!$C$2:$E$91,3,FALSE()), "")</f>
        <v/>
      </c>
      <c r="AK51" s="68" t="str">
        <f>IFERROR(VLOOKUP(AK50,'Projets entreprise'!$C$2:$E$91,3,FALSE()), "")</f>
        <v/>
      </c>
      <c r="AL51" s="68" t="str">
        <f>IFERROR(VLOOKUP(AL50,'Projets entreprise'!$C$2:$E$91,3,FALSE()), "")</f>
        <v/>
      </c>
      <c r="AM51" s="68" t="str">
        <f>IFERROR(VLOOKUP(AM50,'Projets entreprise'!$C$2:$E$91,3,FALSE()), "")</f>
        <v/>
      </c>
      <c r="AN51" s="68" t="str">
        <f>IFERROR(VLOOKUP(AN50,'Projets entreprise'!$C$2:$E$91,3,FALSE()), "")</f>
        <v/>
      </c>
      <c r="AO51" s="68" t="str">
        <f>IFERROR(VLOOKUP(AO50,'Projets entreprise'!$C$2:$E$91,3,FALSE()), "")</f>
        <v/>
      </c>
      <c r="AP51" s="68" t="str">
        <f>IFERROR(VLOOKUP(AP50,'Projets entreprise'!$C$2:$E$91,3,FALSE()), "")</f>
        <v/>
      </c>
      <c r="AQ51" s="68" t="str">
        <f>IFERROR(VLOOKUP(AQ50,'Projets entreprise'!$C$2:$E$91,3,FALSE()), "")</f>
        <v/>
      </c>
      <c r="AR51" s="69" t="str">
        <f>IFERROR(VLOOKUP(AR50,'Projets entreprise'!$C$2:$E$91,3,FALSE()), "")</f>
        <v/>
      </c>
      <c r="AS51" s="87" t="str">
        <f>IFERROR(AVERAGE(V51:AR51), "")</f>
        <v/>
      </c>
    </row>
  </sheetData>
  <mergeCells count="52">
    <mergeCell ref="A48:A49"/>
    <mergeCell ref="B48:B49"/>
    <mergeCell ref="A50:A51"/>
    <mergeCell ref="B50:B51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C1:L1"/>
    <mergeCell ref="M1:T1"/>
    <mergeCell ref="A2:A3"/>
    <mergeCell ref="B2:B3"/>
    <mergeCell ref="A4:A5"/>
    <mergeCell ref="B4:B5"/>
  </mergeCells>
  <conditionalFormatting sqref="C3:AS3 C5:AS5 C7:AS7 C9:AS9 C11:AS11 C13:AS13 C15:AS15 C17:AS17 C19:AS19 C21:AS21 C23:AS23 C25:AS25 C27:AS27 C29:AS29 C31:AS31 C33:AS33 C35:AS35 C37:AS37 C39:AS39 C41:AS41 C43:AS43 C45:AS45 C47:AS47 C49:AS49 C51:AS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AS3 C5:AS5 C7:AS7 C9:AS9 C11:AS11 C13:AS13 C15:AS15 C17:AS17 C19:AS19 C21:AS21 C23:AS23 C25:AS25 C27:AS27 C29:AS29 C31:AS31 C33:AS33 C35:AS35 C37:AS37 C39:AS39 C41:AS41 C43:AS43 C45:AS45 C47:AS47 C49:AS49 C51:AS51">
    <cfRule type="cellIs" dxfId="0" priority="1" stopIfTrue="1" operator="lessThan">
      <formula>1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C4FCE1-A5BB-462D-8B68-D30DA5E232EC}">
          <x14:formula1>
            <xm:f>'Projets entreprise'!$C$2:$C$148</xm:f>
          </x14:formula1>
          <xm:sqref>V2:AR2 V4:AR4 V6:AR6 V8:AR8 V10:AR10 V12:AR12 V14:AR14 V16:AR16 V18:AR18 V20:AR20 V22:AR22 V24:AR24 V26:AR26 V28:AR28 V30:AR30 V32:AR32 V34:AR34 V36:AR36 V38:AR38 V40:AR40 V42:AR42 V44:AR44 V46:AR46 V48:AR48 V50:AR50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865216972B64EB5F320BAA1BB2CBA" ma:contentTypeVersion="15" ma:contentTypeDescription="Create a new document." ma:contentTypeScope="" ma:versionID="b73801110488392acf26b027e4b3ad91">
  <xsd:schema xmlns:xsd="http://www.w3.org/2001/XMLSchema" xmlns:xs="http://www.w3.org/2001/XMLSchema" xmlns:p="http://schemas.microsoft.com/office/2006/metadata/properties" xmlns:ns2="0f56daae-f756-4fe7-a020-757119c81fac" xmlns:ns3="25da8297-7183-4e1e-bf9d-b620dfb9adc0" targetNamespace="http://schemas.microsoft.com/office/2006/metadata/properties" ma:root="true" ma:fieldsID="ef88df02f1531f0bab31da7a2f4112d8" ns2:_="" ns3:_="">
    <xsd:import namespace="0f56daae-f756-4fe7-a020-757119c81fac"/>
    <xsd:import namespace="25da8297-7183-4e1e-bf9d-b620dfb9adc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6daae-f756-4fe7-a020-757119c81fa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c54dc35-811b-481b-9eaf-d3e9adbc51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8297-7183-4e1e-bf9d-b620dfb9adc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c3097aa-b64b-4d81-954e-2344a15df06d}" ma:internalName="TaxCatchAll" ma:showField="CatchAllData" ma:web="25da8297-7183-4e1e-bf9d-b620dfb9ad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6daae-f756-4fe7-a020-757119c81fac">
      <Terms xmlns="http://schemas.microsoft.com/office/infopath/2007/PartnerControls"/>
    </lcf76f155ced4ddcb4097134ff3c332f>
    <TaxCatchAll xmlns="25da8297-7183-4e1e-bf9d-b620dfb9ad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1E7C60-9FA5-4805-A7C6-51059DEE86F8}"/>
</file>

<file path=customXml/itemProps2.xml><?xml version="1.0" encoding="utf-8"?>
<ds:datastoreItem xmlns:ds="http://schemas.openxmlformats.org/officeDocument/2006/customXml" ds:itemID="{39EFC58F-4A21-40CC-9D99-7074267811C2}"/>
</file>

<file path=customXml/itemProps3.xml><?xml version="1.0" encoding="utf-8"?>
<ds:datastoreItem xmlns:ds="http://schemas.openxmlformats.org/officeDocument/2006/customXml" ds:itemID="{AE61F480-E0CA-4F74-9667-D060705CF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>49</cp:revision>
  <dcterms:created xsi:type="dcterms:W3CDTF">2021-11-12T08:29:26Z</dcterms:created>
  <dcterms:modified xsi:type="dcterms:W3CDTF">2026-03-20T09:58:34Z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0x010100CB2865216972B64EB5F320BAA1BB2CBA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